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okamoto\Dropbox (和から株式会社)\集団講座\セミナー\【数学アート系】セミナー\Excelで学ぶアート数学\Excelで学ぶアート数学-ストリング・アート発展編-\githubアップロード用\"/>
    </mc:Choice>
  </mc:AlternateContent>
  <xr:revisionPtr revIDLastSave="0" documentId="8_{067BE979-C62A-47B0-9600-6EE8F94EA577}" xr6:coauthVersionLast="45" xr6:coauthVersionMax="45" xr10:uidLastSave="{00000000-0000-0000-0000-000000000000}"/>
  <bookViews>
    <workbookView xWindow="-108" yWindow="-108" windowWidth="23256" windowHeight="12576" xr2:uid="{17DFA0A4-A2F8-42D5-875B-5434A6C5B8F7}"/>
  </bookViews>
  <sheets>
    <sheet name="演習問題１（円上の糸掛け）" sheetId="1" r:id="rId1"/>
    <sheet name="【解答】演習問題１（円上の糸掛け） " sheetId="8" state="hidden" r:id="rId2"/>
    <sheet name="演習問題２（螺旋）" sheetId="2" r:id="rId3"/>
    <sheet name="【解答】演習問題２（螺旋）" sheetId="9" state="hidden" r:id="rId4"/>
    <sheet name="演習問題3（エピ・ハイポサイクロイド）" sheetId="4" r:id="rId5"/>
    <sheet name="【解答】演習問題3（エピ・ハイポサイクロイド）" sheetId="10" state="hidden" r:id="rId6"/>
    <sheet name="演習問題4（リサージュ曲線）" sheetId="3" r:id="rId7"/>
    <sheet name="【解答】演習問題4（リサージュ曲線）" sheetId="11" state="hidden" r:id="rId8"/>
    <sheet name="付録（キメラカーブ）" sheetId="7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" i="2" l="1"/>
  <c r="C10" i="7" l="1"/>
  <c r="C11" i="11"/>
  <c r="D11" i="11"/>
  <c r="C12" i="11"/>
  <c r="D12" i="11"/>
  <c r="C13" i="11"/>
  <c r="D13" i="11"/>
  <c r="C14" i="11"/>
  <c r="D14" i="11"/>
  <c r="C15" i="11"/>
  <c r="D15" i="11"/>
  <c r="C16" i="11"/>
  <c r="D16" i="11"/>
  <c r="C17" i="11"/>
  <c r="D17" i="11"/>
  <c r="C18" i="11"/>
  <c r="D18" i="11"/>
  <c r="C19" i="11"/>
  <c r="D19" i="11"/>
  <c r="C20" i="11"/>
  <c r="D20" i="11"/>
  <c r="C21" i="11"/>
  <c r="D21" i="11"/>
  <c r="C22" i="11"/>
  <c r="D22" i="11"/>
  <c r="C23" i="11"/>
  <c r="D23" i="11"/>
  <c r="C24" i="11"/>
  <c r="D24" i="11"/>
  <c r="C25" i="11"/>
  <c r="D25" i="11"/>
  <c r="C26" i="11"/>
  <c r="D26" i="11"/>
  <c r="C27" i="11"/>
  <c r="D27" i="11"/>
  <c r="C28" i="11"/>
  <c r="D28" i="11"/>
  <c r="C29" i="11"/>
  <c r="D29" i="11"/>
  <c r="C30" i="11"/>
  <c r="D30" i="11"/>
  <c r="C31" i="11"/>
  <c r="D31" i="11"/>
  <c r="C32" i="11"/>
  <c r="D32" i="11"/>
  <c r="C33" i="11"/>
  <c r="D33" i="11"/>
  <c r="C34" i="11"/>
  <c r="D34" i="11"/>
  <c r="C35" i="11"/>
  <c r="D35" i="11"/>
  <c r="C36" i="11"/>
  <c r="D36" i="11"/>
  <c r="C37" i="11"/>
  <c r="D37" i="11"/>
  <c r="C38" i="11"/>
  <c r="D38" i="11"/>
  <c r="C39" i="11"/>
  <c r="D39" i="11"/>
  <c r="C40" i="11"/>
  <c r="D40" i="11"/>
  <c r="C41" i="11"/>
  <c r="D41" i="11"/>
  <c r="C42" i="11"/>
  <c r="D42" i="11"/>
  <c r="C43" i="11"/>
  <c r="D43" i="11"/>
  <c r="C44" i="11"/>
  <c r="D44" i="11"/>
  <c r="C45" i="11"/>
  <c r="D45" i="11"/>
  <c r="C46" i="11"/>
  <c r="D46" i="11"/>
  <c r="C47" i="11"/>
  <c r="D47" i="11"/>
  <c r="C48" i="11"/>
  <c r="D48" i="11"/>
  <c r="C49" i="11"/>
  <c r="D49" i="11"/>
  <c r="C50" i="11"/>
  <c r="D50" i="11"/>
  <c r="C51" i="11"/>
  <c r="D51" i="11"/>
  <c r="C52" i="11"/>
  <c r="D52" i="11"/>
  <c r="C53" i="11"/>
  <c r="D53" i="11"/>
  <c r="C54" i="11"/>
  <c r="D54" i="11"/>
  <c r="C55" i="11"/>
  <c r="D55" i="11"/>
  <c r="C56" i="11"/>
  <c r="D56" i="11"/>
  <c r="C57" i="11"/>
  <c r="D57" i="11"/>
  <c r="C58" i="11"/>
  <c r="D58" i="11"/>
  <c r="C59" i="11"/>
  <c r="D59" i="11"/>
  <c r="C60" i="11"/>
  <c r="D60" i="11"/>
  <c r="C61" i="11"/>
  <c r="D61" i="11"/>
  <c r="C62" i="11"/>
  <c r="D62" i="11"/>
  <c r="C63" i="11"/>
  <c r="D63" i="11"/>
  <c r="C64" i="11"/>
  <c r="D64" i="11"/>
  <c r="C65" i="11"/>
  <c r="D65" i="11"/>
  <c r="C66" i="11"/>
  <c r="D66" i="11"/>
  <c r="C67" i="11"/>
  <c r="D67" i="11"/>
  <c r="C68" i="11"/>
  <c r="D68" i="11"/>
  <c r="C69" i="11"/>
  <c r="D69" i="11"/>
  <c r="C70" i="11"/>
  <c r="D70" i="11"/>
  <c r="C71" i="11"/>
  <c r="D71" i="11"/>
  <c r="C72" i="11"/>
  <c r="D72" i="11"/>
  <c r="C73" i="11"/>
  <c r="D73" i="11"/>
  <c r="C74" i="11"/>
  <c r="D74" i="11"/>
  <c r="C75" i="11"/>
  <c r="D75" i="11"/>
  <c r="C76" i="11"/>
  <c r="D76" i="11"/>
  <c r="C77" i="11"/>
  <c r="D77" i="11"/>
  <c r="C78" i="11"/>
  <c r="D78" i="11"/>
  <c r="C79" i="11"/>
  <c r="D79" i="11"/>
  <c r="C80" i="11"/>
  <c r="D80" i="11"/>
  <c r="C81" i="11"/>
  <c r="D81" i="11"/>
  <c r="C82" i="11"/>
  <c r="D82" i="11"/>
  <c r="C83" i="11"/>
  <c r="D83" i="11"/>
  <c r="C84" i="11"/>
  <c r="D84" i="11"/>
  <c r="C85" i="11"/>
  <c r="D85" i="11"/>
  <c r="C86" i="11"/>
  <c r="D86" i="11"/>
  <c r="C87" i="11"/>
  <c r="D87" i="11"/>
  <c r="C88" i="11"/>
  <c r="D88" i="11"/>
  <c r="C89" i="11"/>
  <c r="D89" i="11"/>
  <c r="C90" i="11"/>
  <c r="D90" i="11"/>
  <c r="C91" i="11"/>
  <c r="D91" i="11"/>
  <c r="C92" i="11"/>
  <c r="D92" i="11"/>
  <c r="C93" i="11"/>
  <c r="D93" i="11"/>
  <c r="C94" i="11"/>
  <c r="D94" i="11"/>
  <c r="C95" i="11"/>
  <c r="D95" i="11"/>
  <c r="C96" i="11"/>
  <c r="D96" i="11"/>
  <c r="C97" i="11"/>
  <c r="D97" i="11"/>
  <c r="C98" i="11"/>
  <c r="D98" i="11"/>
  <c r="C99" i="11"/>
  <c r="D99" i="11"/>
  <c r="C100" i="11"/>
  <c r="D100" i="11"/>
  <c r="C101" i="11"/>
  <c r="D101" i="11"/>
  <c r="C102" i="11"/>
  <c r="D102" i="11"/>
  <c r="C103" i="11"/>
  <c r="D103" i="11"/>
  <c r="C104" i="11"/>
  <c r="D104" i="11"/>
  <c r="C105" i="11"/>
  <c r="D105" i="11"/>
  <c r="C106" i="11"/>
  <c r="D106" i="11"/>
  <c r="C107" i="11"/>
  <c r="D107" i="11"/>
  <c r="C108" i="11"/>
  <c r="D108" i="11"/>
  <c r="C109" i="11"/>
  <c r="D109" i="11"/>
  <c r="C110" i="11"/>
  <c r="D110" i="11"/>
  <c r="D10" i="11"/>
  <c r="C10" i="11"/>
  <c r="F111" i="10"/>
  <c r="E111" i="10"/>
  <c r="D111" i="10"/>
  <c r="C111" i="10"/>
  <c r="F110" i="10"/>
  <c r="E110" i="10"/>
  <c r="D110" i="10"/>
  <c r="C110" i="10"/>
  <c r="F109" i="10"/>
  <c r="E109" i="10"/>
  <c r="D109" i="10"/>
  <c r="C109" i="10"/>
  <c r="F108" i="10"/>
  <c r="E108" i="10"/>
  <c r="D108" i="10"/>
  <c r="C108" i="10"/>
  <c r="F107" i="10"/>
  <c r="E107" i="10"/>
  <c r="D107" i="10"/>
  <c r="C107" i="10"/>
  <c r="F106" i="10"/>
  <c r="E106" i="10"/>
  <c r="D106" i="10"/>
  <c r="C106" i="10"/>
  <c r="F105" i="10"/>
  <c r="E105" i="10"/>
  <c r="D105" i="10"/>
  <c r="C105" i="10"/>
  <c r="F104" i="10"/>
  <c r="E104" i="10"/>
  <c r="D104" i="10"/>
  <c r="C104" i="10"/>
  <c r="F103" i="10"/>
  <c r="E103" i="10"/>
  <c r="D103" i="10"/>
  <c r="C103" i="10"/>
  <c r="F102" i="10"/>
  <c r="E102" i="10"/>
  <c r="D102" i="10"/>
  <c r="C102" i="10"/>
  <c r="F101" i="10"/>
  <c r="E101" i="10"/>
  <c r="D101" i="10"/>
  <c r="C101" i="10"/>
  <c r="F100" i="10"/>
  <c r="E100" i="10"/>
  <c r="D100" i="10"/>
  <c r="C100" i="10"/>
  <c r="F99" i="10"/>
  <c r="E99" i="10"/>
  <c r="D99" i="10"/>
  <c r="C99" i="10"/>
  <c r="F98" i="10"/>
  <c r="E98" i="10"/>
  <c r="D98" i="10"/>
  <c r="C98" i="10"/>
  <c r="F97" i="10"/>
  <c r="E97" i="10"/>
  <c r="D97" i="10"/>
  <c r="C97" i="10"/>
  <c r="F96" i="10"/>
  <c r="E96" i="10"/>
  <c r="D96" i="10"/>
  <c r="C96" i="10"/>
  <c r="F95" i="10"/>
  <c r="E95" i="10"/>
  <c r="D95" i="10"/>
  <c r="C95" i="10"/>
  <c r="F94" i="10"/>
  <c r="E94" i="10"/>
  <c r="D94" i="10"/>
  <c r="C94" i="10"/>
  <c r="F93" i="10"/>
  <c r="E93" i="10"/>
  <c r="D93" i="10"/>
  <c r="C93" i="10"/>
  <c r="F92" i="10"/>
  <c r="E92" i="10"/>
  <c r="D92" i="10"/>
  <c r="C92" i="10"/>
  <c r="F91" i="10"/>
  <c r="E91" i="10"/>
  <c r="D91" i="10"/>
  <c r="C91" i="10"/>
  <c r="F90" i="10"/>
  <c r="E90" i="10"/>
  <c r="D90" i="10"/>
  <c r="C90" i="10"/>
  <c r="F89" i="10"/>
  <c r="E89" i="10"/>
  <c r="D89" i="10"/>
  <c r="C89" i="10"/>
  <c r="F88" i="10"/>
  <c r="E88" i="10"/>
  <c r="D88" i="10"/>
  <c r="C88" i="10"/>
  <c r="F87" i="10"/>
  <c r="E87" i="10"/>
  <c r="D87" i="10"/>
  <c r="C87" i="10"/>
  <c r="F86" i="10"/>
  <c r="E86" i="10"/>
  <c r="D86" i="10"/>
  <c r="C86" i="10"/>
  <c r="F85" i="10"/>
  <c r="E85" i="10"/>
  <c r="D85" i="10"/>
  <c r="C85" i="10"/>
  <c r="F84" i="10"/>
  <c r="E84" i="10"/>
  <c r="D84" i="10"/>
  <c r="C84" i="10"/>
  <c r="F83" i="10"/>
  <c r="E83" i="10"/>
  <c r="D83" i="10"/>
  <c r="C83" i="10"/>
  <c r="F82" i="10"/>
  <c r="E82" i="10"/>
  <c r="D82" i="10"/>
  <c r="C82" i="10"/>
  <c r="F81" i="10"/>
  <c r="E81" i="10"/>
  <c r="D81" i="10"/>
  <c r="C81" i="10"/>
  <c r="F80" i="10"/>
  <c r="E80" i="10"/>
  <c r="D80" i="10"/>
  <c r="C80" i="10"/>
  <c r="F79" i="10"/>
  <c r="E79" i="10"/>
  <c r="D79" i="10"/>
  <c r="C79" i="10"/>
  <c r="F78" i="10"/>
  <c r="E78" i="10"/>
  <c r="D78" i="10"/>
  <c r="C78" i="10"/>
  <c r="F77" i="10"/>
  <c r="E77" i="10"/>
  <c r="D77" i="10"/>
  <c r="C77" i="10"/>
  <c r="F76" i="10"/>
  <c r="E76" i="10"/>
  <c r="D76" i="10"/>
  <c r="C76" i="10"/>
  <c r="F75" i="10"/>
  <c r="E75" i="10"/>
  <c r="D75" i="10"/>
  <c r="C75" i="10"/>
  <c r="F74" i="10"/>
  <c r="E74" i="10"/>
  <c r="D74" i="10"/>
  <c r="C74" i="10"/>
  <c r="F73" i="10"/>
  <c r="E73" i="10"/>
  <c r="D73" i="10"/>
  <c r="C73" i="10"/>
  <c r="F72" i="10"/>
  <c r="E72" i="10"/>
  <c r="D72" i="10"/>
  <c r="C72" i="10"/>
  <c r="F71" i="10"/>
  <c r="E71" i="10"/>
  <c r="D71" i="10"/>
  <c r="C71" i="10"/>
  <c r="F70" i="10"/>
  <c r="E70" i="10"/>
  <c r="D70" i="10"/>
  <c r="C70" i="10"/>
  <c r="F69" i="10"/>
  <c r="E69" i="10"/>
  <c r="D69" i="10"/>
  <c r="C69" i="10"/>
  <c r="F68" i="10"/>
  <c r="E68" i="10"/>
  <c r="D68" i="10"/>
  <c r="C68" i="10"/>
  <c r="F67" i="10"/>
  <c r="E67" i="10"/>
  <c r="D67" i="10"/>
  <c r="C67" i="10"/>
  <c r="F66" i="10"/>
  <c r="E66" i="10"/>
  <c r="D66" i="10"/>
  <c r="C66" i="10"/>
  <c r="F65" i="10"/>
  <c r="E65" i="10"/>
  <c r="D65" i="10"/>
  <c r="C65" i="10"/>
  <c r="F64" i="10"/>
  <c r="E64" i="10"/>
  <c r="D64" i="10"/>
  <c r="C64" i="10"/>
  <c r="F63" i="10"/>
  <c r="E63" i="10"/>
  <c r="D63" i="10"/>
  <c r="C63" i="10"/>
  <c r="F62" i="10"/>
  <c r="E62" i="10"/>
  <c r="D62" i="10"/>
  <c r="C62" i="10"/>
  <c r="F61" i="10"/>
  <c r="E61" i="10"/>
  <c r="D61" i="10"/>
  <c r="C61" i="10"/>
  <c r="F60" i="10"/>
  <c r="E60" i="10"/>
  <c r="D60" i="10"/>
  <c r="C60" i="10"/>
  <c r="F59" i="10"/>
  <c r="E59" i="10"/>
  <c r="D59" i="10"/>
  <c r="C59" i="10"/>
  <c r="F58" i="10"/>
  <c r="E58" i="10"/>
  <c r="D58" i="10"/>
  <c r="C58" i="10"/>
  <c r="F57" i="10"/>
  <c r="E57" i="10"/>
  <c r="D57" i="10"/>
  <c r="C57" i="10"/>
  <c r="F56" i="10"/>
  <c r="E56" i="10"/>
  <c r="D56" i="10"/>
  <c r="C56" i="10"/>
  <c r="F55" i="10"/>
  <c r="E55" i="10"/>
  <c r="D55" i="10"/>
  <c r="C55" i="10"/>
  <c r="F54" i="10"/>
  <c r="E54" i="10"/>
  <c r="D54" i="10"/>
  <c r="C54" i="10"/>
  <c r="F53" i="10"/>
  <c r="E53" i="10"/>
  <c r="D53" i="10"/>
  <c r="C53" i="10"/>
  <c r="F52" i="10"/>
  <c r="E52" i="10"/>
  <c r="D52" i="10"/>
  <c r="C52" i="10"/>
  <c r="F51" i="10"/>
  <c r="E51" i="10"/>
  <c r="D51" i="10"/>
  <c r="C51" i="10"/>
  <c r="F50" i="10"/>
  <c r="E50" i="10"/>
  <c r="D50" i="10"/>
  <c r="C50" i="10"/>
  <c r="F49" i="10"/>
  <c r="E49" i="10"/>
  <c r="D49" i="10"/>
  <c r="C49" i="10"/>
  <c r="F48" i="10"/>
  <c r="E48" i="10"/>
  <c r="D48" i="10"/>
  <c r="C48" i="10"/>
  <c r="F47" i="10"/>
  <c r="E47" i="10"/>
  <c r="D47" i="10"/>
  <c r="C47" i="10"/>
  <c r="F46" i="10"/>
  <c r="E46" i="10"/>
  <c r="D46" i="10"/>
  <c r="C46" i="10"/>
  <c r="F45" i="10"/>
  <c r="E45" i="10"/>
  <c r="D45" i="10"/>
  <c r="C45" i="10"/>
  <c r="F44" i="10"/>
  <c r="E44" i="10"/>
  <c r="D44" i="10"/>
  <c r="C44" i="10"/>
  <c r="F43" i="10"/>
  <c r="E43" i="10"/>
  <c r="D43" i="10"/>
  <c r="C43" i="10"/>
  <c r="F42" i="10"/>
  <c r="E42" i="10"/>
  <c r="D42" i="10"/>
  <c r="C42" i="10"/>
  <c r="F41" i="10"/>
  <c r="E41" i="10"/>
  <c r="D41" i="10"/>
  <c r="C41" i="10"/>
  <c r="F40" i="10"/>
  <c r="E40" i="10"/>
  <c r="D40" i="10"/>
  <c r="C40" i="10"/>
  <c r="F39" i="10"/>
  <c r="E39" i="10"/>
  <c r="D39" i="10"/>
  <c r="C39" i="10"/>
  <c r="F38" i="10"/>
  <c r="E38" i="10"/>
  <c r="D38" i="10"/>
  <c r="C38" i="10"/>
  <c r="F37" i="10"/>
  <c r="E37" i="10"/>
  <c r="D37" i="10"/>
  <c r="C37" i="10"/>
  <c r="F36" i="10"/>
  <c r="E36" i="10"/>
  <c r="D36" i="10"/>
  <c r="C36" i="10"/>
  <c r="F35" i="10"/>
  <c r="E35" i="10"/>
  <c r="D35" i="10"/>
  <c r="C35" i="10"/>
  <c r="F34" i="10"/>
  <c r="E34" i="10"/>
  <c r="D34" i="10"/>
  <c r="C34" i="10"/>
  <c r="F33" i="10"/>
  <c r="E33" i="10"/>
  <c r="D33" i="10"/>
  <c r="C33" i="10"/>
  <c r="F32" i="10"/>
  <c r="E32" i="10"/>
  <c r="D32" i="10"/>
  <c r="C32" i="10"/>
  <c r="F31" i="10"/>
  <c r="E31" i="10"/>
  <c r="D31" i="10"/>
  <c r="C31" i="10"/>
  <c r="F30" i="10"/>
  <c r="E30" i="10"/>
  <c r="D30" i="10"/>
  <c r="C30" i="10"/>
  <c r="F29" i="10"/>
  <c r="E29" i="10"/>
  <c r="D29" i="10"/>
  <c r="C29" i="10"/>
  <c r="F28" i="10"/>
  <c r="E28" i="10"/>
  <c r="D28" i="10"/>
  <c r="C28" i="10"/>
  <c r="F27" i="10"/>
  <c r="E27" i="10"/>
  <c r="D27" i="10"/>
  <c r="C27" i="10"/>
  <c r="F26" i="10"/>
  <c r="E26" i="10"/>
  <c r="D26" i="10"/>
  <c r="C26" i="10"/>
  <c r="F25" i="10"/>
  <c r="E25" i="10"/>
  <c r="D25" i="10"/>
  <c r="C25" i="10"/>
  <c r="F24" i="10"/>
  <c r="E24" i="10"/>
  <c r="D24" i="10"/>
  <c r="C24" i="10"/>
  <c r="F23" i="10"/>
  <c r="E23" i="10"/>
  <c r="D23" i="10"/>
  <c r="C23" i="10"/>
  <c r="F22" i="10"/>
  <c r="E22" i="10"/>
  <c r="D22" i="10"/>
  <c r="C22" i="10"/>
  <c r="F21" i="10"/>
  <c r="E21" i="10"/>
  <c r="D21" i="10"/>
  <c r="C21" i="10"/>
  <c r="F20" i="10"/>
  <c r="E20" i="10"/>
  <c r="D20" i="10"/>
  <c r="C20" i="10"/>
  <c r="F19" i="10"/>
  <c r="E19" i="10"/>
  <c r="D19" i="10"/>
  <c r="C19" i="10"/>
  <c r="F18" i="10"/>
  <c r="E18" i="10"/>
  <c r="D18" i="10"/>
  <c r="C18" i="10"/>
  <c r="F17" i="10"/>
  <c r="E17" i="10"/>
  <c r="D17" i="10"/>
  <c r="C17" i="10"/>
  <c r="F16" i="10"/>
  <c r="E16" i="10"/>
  <c r="D16" i="10"/>
  <c r="C16" i="10"/>
  <c r="F15" i="10"/>
  <c r="E15" i="10"/>
  <c r="D15" i="10"/>
  <c r="C15" i="10"/>
  <c r="F14" i="10"/>
  <c r="E14" i="10"/>
  <c r="D14" i="10"/>
  <c r="C14" i="10"/>
  <c r="F13" i="10"/>
  <c r="E13" i="10"/>
  <c r="D13" i="10"/>
  <c r="C13" i="10"/>
  <c r="F12" i="10"/>
  <c r="E12" i="10"/>
  <c r="D12" i="10"/>
  <c r="C12" i="10"/>
  <c r="F11" i="10"/>
  <c r="E11" i="10"/>
  <c r="D11" i="10"/>
  <c r="C11" i="10"/>
  <c r="I11" i="9"/>
  <c r="J11" i="9" s="1"/>
  <c r="I12" i="9"/>
  <c r="I13" i="9"/>
  <c r="J13" i="9"/>
  <c r="K13" i="9"/>
  <c r="I14" i="9"/>
  <c r="J14" i="9"/>
  <c r="K14" i="9"/>
  <c r="I15" i="9"/>
  <c r="J15" i="9" s="1"/>
  <c r="I16" i="9"/>
  <c r="I17" i="9"/>
  <c r="J17" i="9"/>
  <c r="K17" i="9"/>
  <c r="I18" i="9"/>
  <c r="J18" i="9"/>
  <c r="K18" i="9"/>
  <c r="I19" i="9"/>
  <c r="J19" i="9" s="1"/>
  <c r="I20" i="9"/>
  <c r="I21" i="9"/>
  <c r="J21" i="9"/>
  <c r="K21" i="9"/>
  <c r="I22" i="9"/>
  <c r="J22" i="9"/>
  <c r="K22" i="9"/>
  <c r="I23" i="9"/>
  <c r="J23" i="9" s="1"/>
  <c r="I24" i="9"/>
  <c r="I25" i="9"/>
  <c r="J25" i="9"/>
  <c r="K25" i="9"/>
  <c r="I26" i="9"/>
  <c r="J26" i="9"/>
  <c r="K26" i="9"/>
  <c r="I27" i="9"/>
  <c r="J27" i="9" s="1"/>
  <c r="I28" i="9"/>
  <c r="I29" i="9"/>
  <c r="J29" i="9"/>
  <c r="K29" i="9"/>
  <c r="I30" i="9"/>
  <c r="J30" i="9"/>
  <c r="K30" i="9"/>
  <c r="I31" i="9"/>
  <c r="J31" i="9" s="1"/>
  <c r="I32" i="9"/>
  <c r="I33" i="9"/>
  <c r="J33" i="9"/>
  <c r="K33" i="9"/>
  <c r="I34" i="9"/>
  <c r="J34" i="9"/>
  <c r="K34" i="9"/>
  <c r="I35" i="9"/>
  <c r="J35" i="9" s="1"/>
  <c r="I36" i="9"/>
  <c r="I37" i="9"/>
  <c r="J37" i="9"/>
  <c r="K37" i="9"/>
  <c r="I38" i="9"/>
  <c r="J38" i="9"/>
  <c r="K38" i="9"/>
  <c r="I39" i="9"/>
  <c r="J39" i="9" s="1"/>
  <c r="I40" i="9"/>
  <c r="I41" i="9"/>
  <c r="J41" i="9"/>
  <c r="K41" i="9"/>
  <c r="I42" i="9"/>
  <c r="J42" i="9"/>
  <c r="K42" i="9"/>
  <c r="I43" i="9"/>
  <c r="J43" i="9" s="1"/>
  <c r="I44" i="9"/>
  <c r="I45" i="9"/>
  <c r="J45" i="9"/>
  <c r="K45" i="9"/>
  <c r="I46" i="9"/>
  <c r="J46" i="9"/>
  <c r="K46" i="9"/>
  <c r="I47" i="9"/>
  <c r="J47" i="9" s="1"/>
  <c r="I48" i="9"/>
  <c r="I49" i="9"/>
  <c r="J49" i="9"/>
  <c r="K49" i="9"/>
  <c r="I50" i="9"/>
  <c r="J50" i="9"/>
  <c r="K50" i="9"/>
  <c r="I51" i="9"/>
  <c r="J51" i="9" s="1"/>
  <c r="I52" i="9"/>
  <c r="I53" i="9"/>
  <c r="J53" i="9"/>
  <c r="K53" i="9"/>
  <c r="I54" i="9"/>
  <c r="J54" i="9"/>
  <c r="K54" i="9"/>
  <c r="I55" i="9"/>
  <c r="J55" i="9" s="1"/>
  <c r="I56" i="9"/>
  <c r="I57" i="9"/>
  <c r="J57" i="9"/>
  <c r="K57" i="9"/>
  <c r="I58" i="9"/>
  <c r="J58" i="9"/>
  <c r="K58" i="9"/>
  <c r="I59" i="9"/>
  <c r="J59" i="9" s="1"/>
  <c r="I60" i="9"/>
  <c r="I61" i="9"/>
  <c r="J61" i="9"/>
  <c r="K61" i="9"/>
  <c r="I62" i="9"/>
  <c r="J62" i="9"/>
  <c r="K62" i="9"/>
  <c r="I63" i="9"/>
  <c r="J63" i="9" s="1"/>
  <c r="I64" i="9"/>
  <c r="I65" i="9"/>
  <c r="J65" i="9"/>
  <c r="K65" i="9"/>
  <c r="I66" i="9"/>
  <c r="J66" i="9"/>
  <c r="K66" i="9"/>
  <c r="I67" i="9"/>
  <c r="J67" i="9" s="1"/>
  <c r="I68" i="9"/>
  <c r="I69" i="9"/>
  <c r="J69" i="9"/>
  <c r="K69" i="9"/>
  <c r="I70" i="9"/>
  <c r="J70" i="9"/>
  <c r="K70" i="9"/>
  <c r="I71" i="9"/>
  <c r="J71" i="9" s="1"/>
  <c r="I72" i="9"/>
  <c r="I73" i="9"/>
  <c r="J73" i="9"/>
  <c r="K73" i="9"/>
  <c r="I74" i="9"/>
  <c r="J74" i="9"/>
  <c r="K74" i="9"/>
  <c r="I75" i="9"/>
  <c r="J75" i="9" s="1"/>
  <c r="I76" i="9"/>
  <c r="I77" i="9"/>
  <c r="J77" i="9"/>
  <c r="K77" i="9"/>
  <c r="I78" i="9"/>
  <c r="J78" i="9"/>
  <c r="K78" i="9"/>
  <c r="I79" i="9"/>
  <c r="J79" i="9" s="1"/>
  <c r="I80" i="9"/>
  <c r="I81" i="9"/>
  <c r="J81" i="9"/>
  <c r="K81" i="9"/>
  <c r="I82" i="9"/>
  <c r="J82" i="9"/>
  <c r="K82" i="9"/>
  <c r="I83" i="9"/>
  <c r="J83" i="9" s="1"/>
  <c r="I84" i="9"/>
  <c r="I85" i="9"/>
  <c r="J85" i="9"/>
  <c r="K85" i="9"/>
  <c r="I86" i="9"/>
  <c r="J86" i="9"/>
  <c r="K86" i="9"/>
  <c r="I87" i="9"/>
  <c r="J87" i="9" s="1"/>
  <c r="I88" i="9"/>
  <c r="I89" i="9"/>
  <c r="J89" i="9"/>
  <c r="K89" i="9"/>
  <c r="I90" i="9"/>
  <c r="J90" i="9"/>
  <c r="K90" i="9"/>
  <c r="I91" i="9"/>
  <c r="J91" i="9" s="1"/>
  <c r="I92" i="9"/>
  <c r="I93" i="9"/>
  <c r="J93" i="9"/>
  <c r="K93" i="9"/>
  <c r="I94" i="9"/>
  <c r="J94" i="9"/>
  <c r="K94" i="9"/>
  <c r="I95" i="9"/>
  <c r="J95" i="9" s="1"/>
  <c r="I96" i="9"/>
  <c r="I97" i="9"/>
  <c r="J97" i="9"/>
  <c r="K97" i="9"/>
  <c r="I98" i="9"/>
  <c r="J98" i="9"/>
  <c r="K98" i="9"/>
  <c r="I99" i="9"/>
  <c r="J99" i="9" s="1"/>
  <c r="I100" i="9"/>
  <c r="I101" i="9"/>
  <c r="J101" i="9"/>
  <c r="K101" i="9"/>
  <c r="I102" i="9"/>
  <c r="J102" i="9"/>
  <c r="K102" i="9"/>
  <c r="I103" i="9"/>
  <c r="J103" i="9" s="1"/>
  <c r="I104" i="9"/>
  <c r="I105" i="9"/>
  <c r="J105" i="9"/>
  <c r="K105" i="9"/>
  <c r="I106" i="9"/>
  <c r="J106" i="9"/>
  <c r="K106" i="9"/>
  <c r="I107" i="9"/>
  <c r="J107" i="9" s="1"/>
  <c r="I108" i="9"/>
  <c r="I109" i="9"/>
  <c r="J109" i="9"/>
  <c r="K109" i="9"/>
  <c r="I110" i="9"/>
  <c r="J110" i="9"/>
  <c r="K110" i="9"/>
  <c r="I111" i="9"/>
  <c r="I112" i="9"/>
  <c r="K112" i="9" s="1"/>
  <c r="J112" i="9"/>
  <c r="I113" i="9"/>
  <c r="J113" i="9"/>
  <c r="K113" i="9"/>
  <c r="I114" i="9"/>
  <c r="J114" i="9"/>
  <c r="K114" i="9"/>
  <c r="I115" i="9"/>
  <c r="I116" i="9"/>
  <c r="K116" i="9" s="1"/>
  <c r="J116" i="9"/>
  <c r="I117" i="9"/>
  <c r="J117" i="9"/>
  <c r="K117" i="9"/>
  <c r="I118" i="9"/>
  <c r="J118" i="9"/>
  <c r="K118" i="9"/>
  <c r="I119" i="9"/>
  <c r="I120" i="9"/>
  <c r="K120" i="9" s="1"/>
  <c r="I121" i="9"/>
  <c r="J121" i="9"/>
  <c r="K121" i="9"/>
  <c r="I122" i="9"/>
  <c r="J122" i="9"/>
  <c r="K122" i="9"/>
  <c r="I123" i="9"/>
  <c r="I124" i="9"/>
  <c r="K124" i="9" s="1"/>
  <c r="I125" i="9"/>
  <c r="J125" i="9"/>
  <c r="K125" i="9"/>
  <c r="I126" i="9"/>
  <c r="J126" i="9"/>
  <c r="K126" i="9"/>
  <c r="I127" i="9"/>
  <c r="I128" i="9"/>
  <c r="K128" i="9" s="1"/>
  <c r="J128" i="9"/>
  <c r="I129" i="9"/>
  <c r="J129" i="9"/>
  <c r="K129" i="9"/>
  <c r="I130" i="9"/>
  <c r="J130" i="9"/>
  <c r="K130" i="9"/>
  <c r="I131" i="9"/>
  <c r="I132" i="9"/>
  <c r="K132" i="9" s="1"/>
  <c r="J132" i="9"/>
  <c r="I133" i="9"/>
  <c r="J133" i="9"/>
  <c r="K133" i="9"/>
  <c r="I134" i="9"/>
  <c r="J134" i="9"/>
  <c r="K134" i="9"/>
  <c r="I135" i="9"/>
  <c r="I136" i="9"/>
  <c r="K136" i="9" s="1"/>
  <c r="I137" i="9"/>
  <c r="J137" i="9"/>
  <c r="K137" i="9"/>
  <c r="I138" i="9"/>
  <c r="J138" i="9"/>
  <c r="K138" i="9"/>
  <c r="I139" i="9"/>
  <c r="I140" i="9"/>
  <c r="K140" i="9" s="1"/>
  <c r="I141" i="9"/>
  <c r="J141" i="9"/>
  <c r="K141" i="9"/>
  <c r="I142" i="9"/>
  <c r="J142" i="9"/>
  <c r="K142" i="9"/>
  <c r="I143" i="9"/>
  <c r="J143" i="9" s="1"/>
  <c r="I144" i="9"/>
  <c r="K144" i="9" s="1"/>
  <c r="J144" i="9"/>
  <c r="I145" i="9"/>
  <c r="J145" i="9" s="1"/>
  <c r="K145" i="9"/>
  <c r="I146" i="9"/>
  <c r="J146" i="9"/>
  <c r="K146" i="9"/>
  <c r="I147" i="9"/>
  <c r="J147" i="9" s="1"/>
  <c r="K147" i="9"/>
  <c r="I148" i="9"/>
  <c r="K148" i="9" s="1"/>
  <c r="I149" i="9"/>
  <c r="K149" i="9" s="1"/>
  <c r="J149" i="9"/>
  <c r="I150" i="9"/>
  <c r="J150" i="9"/>
  <c r="K150" i="9"/>
  <c r="I151" i="9"/>
  <c r="J151" i="9" s="1"/>
  <c r="I152" i="9"/>
  <c r="K152" i="9" s="1"/>
  <c r="J152" i="9"/>
  <c r="I153" i="9"/>
  <c r="J153" i="9" s="1"/>
  <c r="K153" i="9"/>
  <c r="I154" i="9"/>
  <c r="J154" i="9"/>
  <c r="K154" i="9"/>
  <c r="I155" i="9"/>
  <c r="J155" i="9" s="1"/>
  <c r="K155" i="9"/>
  <c r="I156" i="9"/>
  <c r="K156" i="9" s="1"/>
  <c r="I157" i="9"/>
  <c r="K157" i="9" s="1"/>
  <c r="J157" i="9"/>
  <c r="I158" i="9"/>
  <c r="J158" i="9"/>
  <c r="K158" i="9"/>
  <c r="I159" i="9"/>
  <c r="J159" i="9" s="1"/>
  <c r="I160" i="9"/>
  <c r="K160" i="9" s="1"/>
  <c r="J160" i="9"/>
  <c r="I161" i="9"/>
  <c r="J161" i="9" s="1"/>
  <c r="K161" i="9"/>
  <c r="I162" i="9"/>
  <c r="J162" i="9"/>
  <c r="K162" i="9"/>
  <c r="I163" i="9"/>
  <c r="J163" i="9" s="1"/>
  <c r="K163" i="9"/>
  <c r="I164" i="9"/>
  <c r="K164" i="9" s="1"/>
  <c r="I165" i="9"/>
  <c r="K165" i="9" s="1"/>
  <c r="J165" i="9"/>
  <c r="I166" i="9"/>
  <c r="J166" i="9"/>
  <c r="K166" i="9"/>
  <c r="I167" i="9"/>
  <c r="J167" i="9" s="1"/>
  <c r="I168" i="9"/>
  <c r="K168" i="9" s="1"/>
  <c r="J168" i="9"/>
  <c r="I169" i="9"/>
  <c r="J169" i="9" s="1"/>
  <c r="K169" i="9"/>
  <c r="I170" i="9"/>
  <c r="J170" i="9"/>
  <c r="K170" i="9"/>
  <c r="I171" i="9"/>
  <c r="J171" i="9" s="1"/>
  <c r="K171" i="9"/>
  <c r="I172" i="9"/>
  <c r="K172" i="9" s="1"/>
  <c r="I173" i="9"/>
  <c r="K173" i="9" s="1"/>
  <c r="J173" i="9"/>
  <c r="I174" i="9"/>
  <c r="J174" i="9"/>
  <c r="K174" i="9"/>
  <c r="I175" i="9"/>
  <c r="J175" i="9" s="1"/>
  <c r="I176" i="9"/>
  <c r="K176" i="9" s="1"/>
  <c r="J176" i="9"/>
  <c r="I177" i="9"/>
  <c r="J177" i="9" s="1"/>
  <c r="K177" i="9"/>
  <c r="I178" i="9"/>
  <c r="J178" i="9"/>
  <c r="K178" i="9"/>
  <c r="I179" i="9"/>
  <c r="J179" i="9" s="1"/>
  <c r="K179" i="9"/>
  <c r="I180" i="9"/>
  <c r="J180" i="9" s="1"/>
  <c r="K180" i="9"/>
  <c r="I181" i="9"/>
  <c r="J181" i="9" s="1"/>
  <c r="I182" i="9"/>
  <c r="K182" i="9" s="1"/>
  <c r="J182" i="9"/>
  <c r="I183" i="9"/>
  <c r="J183" i="9"/>
  <c r="K183" i="9"/>
  <c r="I184" i="9"/>
  <c r="J184" i="9" s="1"/>
  <c r="K184" i="9"/>
  <c r="I185" i="9"/>
  <c r="J185" i="9" s="1"/>
  <c r="I186" i="9"/>
  <c r="K186" i="9" s="1"/>
  <c r="J186" i="9"/>
  <c r="I187" i="9"/>
  <c r="J187" i="9"/>
  <c r="K187" i="9"/>
  <c r="I188" i="9"/>
  <c r="J188" i="9" s="1"/>
  <c r="K188" i="9"/>
  <c r="I189" i="9"/>
  <c r="J189" i="9" s="1"/>
  <c r="I190" i="9"/>
  <c r="K190" i="9" s="1"/>
  <c r="J190" i="9"/>
  <c r="I191" i="9"/>
  <c r="J191" i="9"/>
  <c r="K191" i="9"/>
  <c r="I192" i="9"/>
  <c r="J192" i="9" s="1"/>
  <c r="K192" i="9"/>
  <c r="I193" i="9"/>
  <c r="J193" i="9" s="1"/>
  <c r="I194" i="9"/>
  <c r="K194" i="9" s="1"/>
  <c r="J194" i="9"/>
  <c r="I195" i="9"/>
  <c r="J195" i="9"/>
  <c r="K195" i="9"/>
  <c r="I196" i="9"/>
  <c r="J196" i="9" s="1"/>
  <c r="K196" i="9"/>
  <c r="I197" i="9"/>
  <c r="J197" i="9" s="1"/>
  <c r="I198" i="9"/>
  <c r="K198" i="9" s="1"/>
  <c r="J198" i="9"/>
  <c r="I199" i="9"/>
  <c r="J199" i="9"/>
  <c r="K199" i="9"/>
  <c r="I200" i="9"/>
  <c r="J200" i="9" s="1"/>
  <c r="K200" i="9"/>
  <c r="I201" i="9"/>
  <c r="J201" i="9" s="1"/>
  <c r="I202" i="9"/>
  <c r="K202" i="9" s="1"/>
  <c r="J202" i="9"/>
  <c r="I203" i="9"/>
  <c r="J203" i="9"/>
  <c r="K203" i="9"/>
  <c r="I204" i="9"/>
  <c r="J204" i="9" s="1"/>
  <c r="K204" i="9"/>
  <c r="I205" i="9"/>
  <c r="J205" i="9" s="1"/>
  <c r="I206" i="9"/>
  <c r="K206" i="9" s="1"/>
  <c r="J206" i="9"/>
  <c r="I207" i="9"/>
  <c r="J207" i="9"/>
  <c r="K207" i="9"/>
  <c r="I208" i="9"/>
  <c r="J208" i="9" s="1"/>
  <c r="K208" i="9"/>
  <c r="I209" i="9"/>
  <c r="J209" i="9" s="1"/>
  <c r="I210" i="9"/>
  <c r="K210" i="9" s="1"/>
  <c r="J210" i="9"/>
  <c r="C11" i="9"/>
  <c r="D11" i="9" s="1"/>
  <c r="C12" i="9"/>
  <c r="C13" i="9"/>
  <c r="D13" i="9"/>
  <c r="E13" i="9"/>
  <c r="C14" i="9"/>
  <c r="D14" i="9"/>
  <c r="E14" i="9"/>
  <c r="C15" i="9"/>
  <c r="D15" i="9" s="1"/>
  <c r="E15" i="9"/>
  <c r="C16" i="9"/>
  <c r="C17" i="9"/>
  <c r="E17" i="9" s="1"/>
  <c r="D17" i="9"/>
  <c r="C18" i="9"/>
  <c r="D18" i="9"/>
  <c r="E18" i="9"/>
  <c r="C19" i="9"/>
  <c r="D19" i="9" s="1"/>
  <c r="E19" i="9"/>
  <c r="C20" i="9"/>
  <c r="C21" i="9"/>
  <c r="E21" i="9" s="1"/>
  <c r="D21" i="9"/>
  <c r="C22" i="9"/>
  <c r="D22" i="9"/>
  <c r="E22" i="9"/>
  <c r="C23" i="9"/>
  <c r="D23" i="9" s="1"/>
  <c r="E23" i="9"/>
  <c r="C24" i="9"/>
  <c r="C25" i="9"/>
  <c r="E25" i="9" s="1"/>
  <c r="D25" i="9"/>
  <c r="C26" i="9"/>
  <c r="D26" i="9"/>
  <c r="E26" i="9"/>
  <c r="C27" i="9"/>
  <c r="D27" i="9" s="1"/>
  <c r="E27" i="9"/>
  <c r="C28" i="9"/>
  <c r="C29" i="9"/>
  <c r="E29" i="9" s="1"/>
  <c r="D29" i="9"/>
  <c r="C30" i="9"/>
  <c r="D30" i="9"/>
  <c r="E30" i="9"/>
  <c r="C31" i="9"/>
  <c r="D31" i="9" s="1"/>
  <c r="E31" i="9"/>
  <c r="C32" i="9"/>
  <c r="C33" i="9"/>
  <c r="E33" i="9" s="1"/>
  <c r="D33" i="9"/>
  <c r="C34" i="9"/>
  <c r="D34" i="9"/>
  <c r="E34" i="9"/>
  <c r="C35" i="9"/>
  <c r="D35" i="9" s="1"/>
  <c r="E35" i="9"/>
  <c r="C36" i="9"/>
  <c r="C37" i="9"/>
  <c r="E37" i="9" s="1"/>
  <c r="D37" i="9"/>
  <c r="C38" i="9"/>
  <c r="D38" i="9"/>
  <c r="E38" i="9"/>
  <c r="C39" i="9"/>
  <c r="D39" i="9" s="1"/>
  <c r="E39" i="9"/>
  <c r="C40" i="9"/>
  <c r="C41" i="9"/>
  <c r="E41" i="9" s="1"/>
  <c r="D41" i="9"/>
  <c r="C42" i="9"/>
  <c r="D42" i="9"/>
  <c r="E42" i="9"/>
  <c r="C43" i="9"/>
  <c r="D43" i="9" s="1"/>
  <c r="E43" i="9"/>
  <c r="C44" i="9"/>
  <c r="C45" i="9"/>
  <c r="E45" i="9" s="1"/>
  <c r="D45" i="9"/>
  <c r="C46" i="9"/>
  <c r="D46" i="9"/>
  <c r="E46" i="9"/>
  <c r="C47" i="9"/>
  <c r="D47" i="9" s="1"/>
  <c r="E47" i="9"/>
  <c r="C48" i="9"/>
  <c r="C49" i="9"/>
  <c r="E49" i="9" s="1"/>
  <c r="D49" i="9"/>
  <c r="C50" i="9"/>
  <c r="D50" i="9"/>
  <c r="E50" i="9"/>
  <c r="C51" i="9"/>
  <c r="D51" i="9" s="1"/>
  <c r="E51" i="9"/>
  <c r="C52" i="9"/>
  <c r="C53" i="9"/>
  <c r="E53" i="9" s="1"/>
  <c r="D53" i="9"/>
  <c r="C54" i="9"/>
  <c r="D54" i="9"/>
  <c r="E54" i="9"/>
  <c r="C55" i="9"/>
  <c r="D55" i="9" s="1"/>
  <c r="E55" i="9"/>
  <c r="C56" i="9"/>
  <c r="C57" i="9"/>
  <c r="E57" i="9" s="1"/>
  <c r="D57" i="9"/>
  <c r="C58" i="9"/>
  <c r="D58" i="9"/>
  <c r="E58" i="9"/>
  <c r="C59" i="9"/>
  <c r="D59" i="9" s="1"/>
  <c r="E59" i="9"/>
  <c r="C60" i="9"/>
  <c r="C61" i="9"/>
  <c r="E61" i="9" s="1"/>
  <c r="D61" i="9"/>
  <c r="C62" i="9"/>
  <c r="D62" i="9"/>
  <c r="E62" i="9"/>
  <c r="C63" i="9"/>
  <c r="D63" i="9" s="1"/>
  <c r="E63" i="9"/>
  <c r="C64" i="9"/>
  <c r="C65" i="9"/>
  <c r="E65" i="9" s="1"/>
  <c r="D65" i="9"/>
  <c r="C66" i="9"/>
  <c r="D66" i="9"/>
  <c r="E66" i="9"/>
  <c r="C67" i="9"/>
  <c r="D67" i="9" s="1"/>
  <c r="E67" i="9"/>
  <c r="C68" i="9"/>
  <c r="C69" i="9"/>
  <c r="E69" i="9" s="1"/>
  <c r="D69" i="9"/>
  <c r="C70" i="9"/>
  <c r="D70" i="9"/>
  <c r="E70" i="9"/>
  <c r="C71" i="9"/>
  <c r="D71" i="9" s="1"/>
  <c r="E71" i="9"/>
  <c r="C72" i="9"/>
  <c r="C73" i="9"/>
  <c r="E73" i="9" s="1"/>
  <c r="D73" i="9"/>
  <c r="C74" i="9"/>
  <c r="D74" i="9"/>
  <c r="E74" i="9"/>
  <c r="C75" i="9"/>
  <c r="D75" i="9"/>
  <c r="E75" i="9"/>
  <c r="C76" i="9"/>
  <c r="C77" i="9"/>
  <c r="E77" i="9" s="1"/>
  <c r="D77" i="9"/>
  <c r="C78" i="9"/>
  <c r="D78" i="9"/>
  <c r="E78" i="9"/>
  <c r="C79" i="9"/>
  <c r="D79" i="9"/>
  <c r="E79" i="9"/>
  <c r="C80" i="9"/>
  <c r="C81" i="9"/>
  <c r="E81" i="9" s="1"/>
  <c r="D81" i="9"/>
  <c r="C82" i="9"/>
  <c r="D82" i="9"/>
  <c r="E82" i="9"/>
  <c r="C83" i="9"/>
  <c r="D83" i="9"/>
  <c r="E83" i="9"/>
  <c r="C84" i="9"/>
  <c r="C85" i="9"/>
  <c r="E85" i="9" s="1"/>
  <c r="D85" i="9"/>
  <c r="C86" i="9"/>
  <c r="D86" i="9"/>
  <c r="E86" i="9"/>
  <c r="C87" i="9"/>
  <c r="D87" i="9"/>
  <c r="E87" i="9"/>
  <c r="C88" i="9"/>
  <c r="C89" i="9"/>
  <c r="E89" i="9" s="1"/>
  <c r="D89" i="9"/>
  <c r="C90" i="9"/>
  <c r="D90" i="9"/>
  <c r="E90" i="9"/>
  <c r="C91" i="9"/>
  <c r="D91" i="9"/>
  <c r="E91" i="9"/>
  <c r="C92" i="9"/>
  <c r="C93" i="9"/>
  <c r="E93" i="9" s="1"/>
  <c r="D93" i="9"/>
  <c r="C94" i="9"/>
  <c r="D94" i="9"/>
  <c r="E94" i="9"/>
  <c r="C95" i="9"/>
  <c r="D95" i="9"/>
  <c r="E95" i="9"/>
  <c r="C96" i="9"/>
  <c r="C97" i="9"/>
  <c r="E97" i="9" s="1"/>
  <c r="D97" i="9"/>
  <c r="C98" i="9"/>
  <c r="D98" i="9"/>
  <c r="E98" i="9"/>
  <c r="C99" i="9"/>
  <c r="D99" i="9"/>
  <c r="E99" i="9"/>
  <c r="C100" i="9"/>
  <c r="C101" i="9"/>
  <c r="E101" i="9" s="1"/>
  <c r="D101" i="9"/>
  <c r="C102" i="9"/>
  <c r="D102" i="9"/>
  <c r="E102" i="9"/>
  <c r="C103" i="9"/>
  <c r="D103" i="9"/>
  <c r="E103" i="9"/>
  <c r="C104" i="9"/>
  <c r="C105" i="9"/>
  <c r="E105" i="9" s="1"/>
  <c r="D105" i="9"/>
  <c r="C106" i="9"/>
  <c r="D106" i="9"/>
  <c r="E106" i="9"/>
  <c r="C107" i="9"/>
  <c r="D107" i="9"/>
  <c r="E107" i="9"/>
  <c r="C108" i="9"/>
  <c r="C109" i="9"/>
  <c r="E109" i="9" s="1"/>
  <c r="D109" i="9"/>
  <c r="C110" i="9"/>
  <c r="D110" i="9"/>
  <c r="E110" i="9"/>
  <c r="C111" i="9"/>
  <c r="D111" i="9"/>
  <c r="E111" i="9"/>
  <c r="C112" i="9"/>
  <c r="C113" i="9"/>
  <c r="E113" i="9" s="1"/>
  <c r="D113" i="9"/>
  <c r="C114" i="9"/>
  <c r="D114" i="9"/>
  <c r="E114" i="9"/>
  <c r="C115" i="9"/>
  <c r="D115" i="9"/>
  <c r="E115" i="9"/>
  <c r="C116" i="9"/>
  <c r="C117" i="9"/>
  <c r="E117" i="9" s="1"/>
  <c r="D117" i="9"/>
  <c r="C118" i="9"/>
  <c r="D118" i="9"/>
  <c r="E118" i="9"/>
  <c r="C119" i="9"/>
  <c r="D119" i="9"/>
  <c r="E119" i="9"/>
  <c r="C120" i="9"/>
  <c r="C121" i="9"/>
  <c r="E121" i="9" s="1"/>
  <c r="C122" i="9"/>
  <c r="D122" i="9"/>
  <c r="E122" i="9"/>
  <c r="C123" i="9"/>
  <c r="D123" i="9"/>
  <c r="E123" i="9"/>
  <c r="C124" i="9"/>
  <c r="C125" i="9"/>
  <c r="E125" i="9" s="1"/>
  <c r="C126" i="9"/>
  <c r="D126" i="9"/>
  <c r="E126" i="9"/>
  <c r="C127" i="9"/>
  <c r="D127" i="9"/>
  <c r="E127" i="9"/>
  <c r="C128" i="9"/>
  <c r="C129" i="9"/>
  <c r="E129" i="9" s="1"/>
  <c r="D129" i="9"/>
  <c r="C130" i="9"/>
  <c r="D130" i="9"/>
  <c r="E130" i="9"/>
  <c r="C131" i="9"/>
  <c r="D131" i="9"/>
  <c r="E131" i="9"/>
  <c r="C132" i="9"/>
  <c r="C133" i="9"/>
  <c r="E133" i="9" s="1"/>
  <c r="D133" i="9"/>
  <c r="C134" i="9"/>
  <c r="D134" i="9"/>
  <c r="E134" i="9"/>
  <c r="C135" i="9"/>
  <c r="D135" i="9"/>
  <c r="E135" i="9"/>
  <c r="C136" i="9"/>
  <c r="C137" i="9"/>
  <c r="E137" i="9" s="1"/>
  <c r="C138" i="9"/>
  <c r="D138" i="9"/>
  <c r="E138" i="9"/>
  <c r="C139" i="9"/>
  <c r="D139" i="9"/>
  <c r="E139" i="9"/>
  <c r="C140" i="9"/>
  <c r="C141" i="9"/>
  <c r="E141" i="9" s="1"/>
  <c r="C142" i="9"/>
  <c r="D142" i="9"/>
  <c r="E142" i="9"/>
  <c r="C143" i="9"/>
  <c r="D143" i="9"/>
  <c r="E143" i="9"/>
  <c r="C144" i="9"/>
  <c r="D144" i="9" s="1"/>
  <c r="C145" i="9"/>
  <c r="E145" i="9" s="1"/>
  <c r="D145" i="9"/>
  <c r="C146" i="9"/>
  <c r="D146" i="9" s="1"/>
  <c r="C147" i="9"/>
  <c r="D147" i="9"/>
  <c r="E147" i="9"/>
  <c r="C148" i="9"/>
  <c r="D148" i="9" s="1"/>
  <c r="E148" i="9"/>
  <c r="C149" i="9"/>
  <c r="E149" i="9" s="1"/>
  <c r="C150" i="9"/>
  <c r="D150" i="9"/>
  <c r="E150" i="9"/>
  <c r="C151" i="9"/>
  <c r="D151" i="9"/>
  <c r="E151" i="9"/>
  <c r="C152" i="9"/>
  <c r="D152" i="9" s="1"/>
  <c r="C153" i="9"/>
  <c r="E153" i="9" s="1"/>
  <c r="D153" i="9"/>
  <c r="C154" i="9"/>
  <c r="D154" i="9" s="1"/>
  <c r="C155" i="9"/>
  <c r="D155" i="9"/>
  <c r="E155" i="9"/>
  <c r="C156" i="9"/>
  <c r="D156" i="9" s="1"/>
  <c r="E156" i="9"/>
  <c r="C157" i="9"/>
  <c r="E157" i="9" s="1"/>
  <c r="C158" i="9"/>
  <c r="D158" i="9"/>
  <c r="E158" i="9"/>
  <c r="C159" i="9"/>
  <c r="D159" i="9"/>
  <c r="E159" i="9"/>
  <c r="C160" i="9"/>
  <c r="D160" i="9" s="1"/>
  <c r="C161" i="9"/>
  <c r="E161" i="9" s="1"/>
  <c r="D161" i="9"/>
  <c r="C162" i="9"/>
  <c r="D162" i="9" s="1"/>
  <c r="C163" i="9"/>
  <c r="D163" i="9"/>
  <c r="E163" i="9"/>
  <c r="C164" i="9"/>
  <c r="D164" i="9" s="1"/>
  <c r="E164" i="9"/>
  <c r="C165" i="9"/>
  <c r="E165" i="9" s="1"/>
  <c r="C166" i="9"/>
  <c r="D166" i="9"/>
  <c r="E166" i="9"/>
  <c r="C167" i="9"/>
  <c r="D167" i="9"/>
  <c r="E167" i="9"/>
  <c r="C168" i="9"/>
  <c r="D168" i="9" s="1"/>
  <c r="C169" i="9"/>
  <c r="E169" i="9" s="1"/>
  <c r="D169" i="9"/>
  <c r="C170" i="9"/>
  <c r="D170" i="9" s="1"/>
  <c r="C171" i="9"/>
  <c r="D171" i="9"/>
  <c r="E171" i="9"/>
  <c r="C172" i="9"/>
  <c r="D172" i="9" s="1"/>
  <c r="E172" i="9"/>
  <c r="C173" i="9"/>
  <c r="E173" i="9" s="1"/>
  <c r="C174" i="9"/>
  <c r="D174" i="9"/>
  <c r="E174" i="9"/>
  <c r="C175" i="9"/>
  <c r="D175" i="9"/>
  <c r="E175" i="9"/>
  <c r="C176" i="9"/>
  <c r="D176" i="9" s="1"/>
  <c r="C177" i="9"/>
  <c r="E177" i="9" s="1"/>
  <c r="D177" i="9"/>
  <c r="C178" i="9"/>
  <c r="D178" i="9" s="1"/>
  <c r="C179" i="9"/>
  <c r="D179" i="9"/>
  <c r="E179" i="9"/>
  <c r="C180" i="9"/>
  <c r="D180" i="9" s="1"/>
  <c r="E180" i="9"/>
  <c r="C181" i="9"/>
  <c r="E181" i="9" s="1"/>
  <c r="C182" i="9"/>
  <c r="D182" i="9"/>
  <c r="E182" i="9"/>
  <c r="C183" i="9"/>
  <c r="D183" i="9"/>
  <c r="E183" i="9"/>
  <c r="C184" i="9"/>
  <c r="D184" i="9" s="1"/>
  <c r="C185" i="9"/>
  <c r="D185" i="9" s="1"/>
  <c r="C186" i="9"/>
  <c r="D186" i="9"/>
  <c r="E186" i="9"/>
  <c r="C187" i="9"/>
  <c r="D187" i="9"/>
  <c r="E187" i="9"/>
  <c r="C188" i="9"/>
  <c r="D188" i="9" s="1"/>
  <c r="C189" i="9"/>
  <c r="D189" i="9" s="1"/>
  <c r="C190" i="9"/>
  <c r="D190" i="9"/>
  <c r="E190" i="9"/>
  <c r="C191" i="9"/>
  <c r="D191" i="9"/>
  <c r="E191" i="9"/>
  <c r="C192" i="9"/>
  <c r="D192" i="9" s="1"/>
  <c r="C193" i="9"/>
  <c r="D193" i="9" s="1"/>
  <c r="C194" i="9"/>
  <c r="D194" i="9"/>
  <c r="E194" i="9"/>
  <c r="C195" i="9"/>
  <c r="D195" i="9"/>
  <c r="E195" i="9"/>
  <c r="C196" i="9"/>
  <c r="D196" i="9" s="1"/>
  <c r="C197" i="9"/>
  <c r="D197" i="9" s="1"/>
  <c r="C198" i="9"/>
  <c r="D198" i="9"/>
  <c r="E198" i="9"/>
  <c r="C199" i="9"/>
  <c r="D199" i="9"/>
  <c r="E199" i="9"/>
  <c r="C200" i="9"/>
  <c r="D200" i="9" s="1"/>
  <c r="C201" i="9"/>
  <c r="D201" i="9" s="1"/>
  <c r="C202" i="9"/>
  <c r="D202" i="9"/>
  <c r="E202" i="9"/>
  <c r="C203" i="9"/>
  <c r="D203" i="9"/>
  <c r="E203" i="9"/>
  <c r="C204" i="9"/>
  <c r="D204" i="9" s="1"/>
  <c r="C205" i="9"/>
  <c r="D205" i="9" s="1"/>
  <c r="C206" i="9"/>
  <c r="D206" i="9"/>
  <c r="E206" i="9"/>
  <c r="C207" i="9"/>
  <c r="D207" i="9"/>
  <c r="E207" i="9"/>
  <c r="C208" i="9"/>
  <c r="D208" i="9" s="1"/>
  <c r="C209" i="9"/>
  <c r="D209" i="9" s="1"/>
  <c r="C210" i="9"/>
  <c r="D210" i="9"/>
  <c r="E210" i="9"/>
  <c r="I10" i="9"/>
  <c r="K10" i="9" s="1"/>
  <c r="C10" i="9"/>
  <c r="D10" i="9" s="1"/>
  <c r="C11" i="8"/>
  <c r="D11" i="8"/>
  <c r="C12" i="8"/>
  <c r="D12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6" i="8"/>
  <c r="D26" i="8"/>
  <c r="C27" i="8"/>
  <c r="D27" i="8"/>
  <c r="C28" i="8"/>
  <c r="D28" i="8"/>
  <c r="C29" i="8"/>
  <c r="D29" i="8"/>
  <c r="C30" i="8"/>
  <c r="D30" i="8"/>
  <c r="C31" i="8"/>
  <c r="D31" i="8"/>
  <c r="C32" i="8"/>
  <c r="D32" i="8"/>
  <c r="C33" i="8"/>
  <c r="D33" i="8"/>
  <c r="C34" i="8"/>
  <c r="D34" i="8"/>
  <c r="C35" i="8"/>
  <c r="D35" i="8"/>
  <c r="C36" i="8"/>
  <c r="D36" i="8"/>
  <c r="C37" i="8"/>
  <c r="D37" i="8"/>
  <c r="C38" i="8"/>
  <c r="D38" i="8"/>
  <c r="C39" i="8"/>
  <c r="D39" i="8"/>
  <c r="C40" i="8"/>
  <c r="D40" i="8"/>
  <c r="C41" i="8"/>
  <c r="D41" i="8"/>
  <c r="C42" i="8"/>
  <c r="D42" i="8"/>
  <c r="C43" i="8"/>
  <c r="D43" i="8"/>
  <c r="C44" i="8"/>
  <c r="D44" i="8"/>
  <c r="C45" i="8"/>
  <c r="D45" i="8"/>
  <c r="C46" i="8"/>
  <c r="D46" i="8"/>
  <c r="C47" i="8"/>
  <c r="D47" i="8"/>
  <c r="C48" i="8"/>
  <c r="D48" i="8"/>
  <c r="C49" i="8"/>
  <c r="D49" i="8"/>
  <c r="C50" i="8"/>
  <c r="D50" i="8"/>
  <c r="C51" i="8"/>
  <c r="D51" i="8"/>
  <c r="C52" i="8"/>
  <c r="D52" i="8"/>
  <c r="C53" i="8"/>
  <c r="D53" i="8"/>
  <c r="C54" i="8"/>
  <c r="D54" i="8"/>
  <c r="C55" i="8"/>
  <c r="D55" i="8"/>
  <c r="C56" i="8"/>
  <c r="D56" i="8"/>
  <c r="C57" i="8"/>
  <c r="D57" i="8"/>
  <c r="C58" i="8"/>
  <c r="D58" i="8"/>
  <c r="C59" i="8"/>
  <c r="D59" i="8"/>
  <c r="C60" i="8"/>
  <c r="D60" i="8"/>
  <c r="C61" i="8"/>
  <c r="D61" i="8"/>
  <c r="C62" i="8"/>
  <c r="D62" i="8"/>
  <c r="C63" i="8"/>
  <c r="D63" i="8"/>
  <c r="C64" i="8"/>
  <c r="D64" i="8"/>
  <c r="C65" i="8"/>
  <c r="D65" i="8"/>
  <c r="C66" i="8"/>
  <c r="D66" i="8"/>
  <c r="C67" i="8"/>
  <c r="D67" i="8"/>
  <c r="C68" i="8"/>
  <c r="D68" i="8"/>
  <c r="C69" i="8"/>
  <c r="D69" i="8"/>
  <c r="C70" i="8"/>
  <c r="D70" i="8"/>
  <c r="C71" i="8"/>
  <c r="D71" i="8"/>
  <c r="C72" i="8"/>
  <c r="D72" i="8"/>
  <c r="C73" i="8"/>
  <c r="D73" i="8"/>
  <c r="C74" i="8"/>
  <c r="D74" i="8"/>
  <c r="C75" i="8"/>
  <c r="D75" i="8"/>
  <c r="C76" i="8"/>
  <c r="D76" i="8"/>
  <c r="C77" i="8"/>
  <c r="D77" i="8"/>
  <c r="C78" i="8"/>
  <c r="D78" i="8"/>
  <c r="C79" i="8"/>
  <c r="D79" i="8"/>
  <c r="C80" i="8"/>
  <c r="D80" i="8"/>
  <c r="C81" i="8"/>
  <c r="D81" i="8"/>
  <c r="C82" i="8"/>
  <c r="D82" i="8"/>
  <c r="C83" i="8"/>
  <c r="D83" i="8"/>
  <c r="C84" i="8"/>
  <c r="D84" i="8"/>
  <c r="C85" i="8"/>
  <c r="D85" i="8"/>
  <c r="C86" i="8"/>
  <c r="D86" i="8"/>
  <c r="C87" i="8"/>
  <c r="D87" i="8"/>
  <c r="C88" i="8"/>
  <c r="D88" i="8"/>
  <c r="C89" i="8"/>
  <c r="D89" i="8"/>
  <c r="C90" i="8"/>
  <c r="D90" i="8"/>
  <c r="C91" i="8"/>
  <c r="D91" i="8"/>
  <c r="C92" i="8"/>
  <c r="D92" i="8"/>
  <c r="C93" i="8"/>
  <c r="D93" i="8"/>
  <c r="C94" i="8"/>
  <c r="D94" i="8"/>
  <c r="C95" i="8"/>
  <c r="D95" i="8"/>
  <c r="C96" i="8"/>
  <c r="D96" i="8"/>
  <c r="C97" i="8"/>
  <c r="D97" i="8"/>
  <c r="C98" i="8"/>
  <c r="D98" i="8"/>
  <c r="C99" i="8"/>
  <c r="D99" i="8"/>
  <c r="C100" i="8"/>
  <c r="D100" i="8"/>
  <c r="C101" i="8"/>
  <c r="D101" i="8"/>
  <c r="C102" i="8"/>
  <c r="D102" i="8"/>
  <c r="C103" i="8"/>
  <c r="D103" i="8"/>
  <c r="C104" i="8"/>
  <c r="D104" i="8"/>
  <c r="C105" i="8"/>
  <c r="D105" i="8"/>
  <c r="C106" i="8"/>
  <c r="D106" i="8"/>
  <c r="C107" i="8"/>
  <c r="D107" i="8"/>
  <c r="C108" i="8"/>
  <c r="D108" i="8"/>
  <c r="C109" i="8"/>
  <c r="D109" i="8"/>
  <c r="C110" i="8"/>
  <c r="D110" i="8"/>
  <c r="D10" i="8"/>
  <c r="C10" i="8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C29" i="7"/>
  <c r="D29" i="7"/>
  <c r="C30" i="7"/>
  <c r="D30" i="7"/>
  <c r="C31" i="7"/>
  <c r="D31" i="7"/>
  <c r="C32" i="7"/>
  <c r="D32" i="7"/>
  <c r="C33" i="7"/>
  <c r="D33" i="7"/>
  <c r="C34" i="7"/>
  <c r="D34" i="7"/>
  <c r="C35" i="7"/>
  <c r="D35" i="7"/>
  <c r="C36" i="7"/>
  <c r="D36" i="7"/>
  <c r="C37" i="7"/>
  <c r="D37" i="7"/>
  <c r="C38" i="7"/>
  <c r="D38" i="7"/>
  <c r="C39" i="7"/>
  <c r="D39" i="7"/>
  <c r="C40" i="7"/>
  <c r="D40" i="7"/>
  <c r="C41" i="7"/>
  <c r="D41" i="7"/>
  <c r="C42" i="7"/>
  <c r="D42" i="7"/>
  <c r="C43" i="7"/>
  <c r="D43" i="7"/>
  <c r="C44" i="7"/>
  <c r="D44" i="7"/>
  <c r="C45" i="7"/>
  <c r="D45" i="7"/>
  <c r="C46" i="7"/>
  <c r="D46" i="7"/>
  <c r="C47" i="7"/>
  <c r="D47" i="7"/>
  <c r="C48" i="7"/>
  <c r="D48" i="7"/>
  <c r="C49" i="7"/>
  <c r="D49" i="7"/>
  <c r="C50" i="7"/>
  <c r="D50" i="7"/>
  <c r="C51" i="7"/>
  <c r="D51" i="7"/>
  <c r="C52" i="7"/>
  <c r="D52" i="7"/>
  <c r="C53" i="7"/>
  <c r="D53" i="7"/>
  <c r="C54" i="7"/>
  <c r="D54" i="7"/>
  <c r="C55" i="7"/>
  <c r="D55" i="7"/>
  <c r="C56" i="7"/>
  <c r="D56" i="7"/>
  <c r="C57" i="7"/>
  <c r="D57" i="7"/>
  <c r="C58" i="7"/>
  <c r="D58" i="7"/>
  <c r="C59" i="7"/>
  <c r="D59" i="7"/>
  <c r="C60" i="7"/>
  <c r="D60" i="7"/>
  <c r="C61" i="7"/>
  <c r="D61" i="7"/>
  <c r="C62" i="7"/>
  <c r="D62" i="7"/>
  <c r="C63" i="7"/>
  <c r="D63" i="7"/>
  <c r="C64" i="7"/>
  <c r="D64" i="7"/>
  <c r="C65" i="7"/>
  <c r="D65" i="7"/>
  <c r="C66" i="7"/>
  <c r="D66" i="7"/>
  <c r="C67" i="7"/>
  <c r="D67" i="7"/>
  <c r="C68" i="7"/>
  <c r="D68" i="7"/>
  <c r="C69" i="7"/>
  <c r="D69" i="7"/>
  <c r="C70" i="7"/>
  <c r="D70" i="7"/>
  <c r="C71" i="7"/>
  <c r="D71" i="7"/>
  <c r="C72" i="7"/>
  <c r="D72" i="7"/>
  <c r="C73" i="7"/>
  <c r="D73" i="7"/>
  <c r="C74" i="7"/>
  <c r="D74" i="7"/>
  <c r="C75" i="7"/>
  <c r="D75" i="7"/>
  <c r="C76" i="7"/>
  <c r="D76" i="7"/>
  <c r="C77" i="7"/>
  <c r="D77" i="7"/>
  <c r="C78" i="7"/>
  <c r="D78" i="7"/>
  <c r="C79" i="7"/>
  <c r="D79" i="7"/>
  <c r="C80" i="7"/>
  <c r="D80" i="7"/>
  <c r="C81" i="7"/>
  <c r="D81" i="7"/>
  <c r="C82" i="7"/>
  <c r="D82" i="7"/>
  <c r="C83" i="7"/>
  <c r="D83" i="7"/>
  <c r="C84" i="7"/>
  <c r="D84" i="7"/>
  <c r="C85" i="7"/>
  <c r="D85" i="7"/>
  <c r="C86" i="7"/>
  <c r="D86" i="7"/>
  <c r="C87" i="7"/>
  <c r="D87" i="7"/>
  <c r="C88" i="7"/>
  <c r="D88" i="7"/>
  <c r="C89" i="7"/>
  <c r="D89" i="7"/>
  <c r="C90" i="7"/>
  <c r="D90" i="7"/>
  <c r="C91" i="7"/>
  <c r="D91" i="7"/>
  <c r="C92" i="7"/>
  <c r="D92" i="7"/>
  <c r="C93" i="7"/>
  <c r="D93" i="7"/>
  <c r="C94" i="7"/>
  <c r="D94" i="7"/>
  <c r="C95" i="7"/>
  <c r="D95" i="7"/>
  <c r="C96" i="7"/>
  <c r="D96" i="7"/>
  <c r="C97" i="7"/>
  <c r="D97" i="7"/>
  <c r="C98" i="7"/>
  <c r="D98" i="7"/>
  <c r="C99" i="7"/>
  <c r="D99" i="7"/>
  <c r="C100" i="7"/>
  <c r="D100" i="7"/>
  <c r="C101" i="7"/>
  <c r="D101" i="7"/>
  <c r="C102" i="7"/>
  <c r="D102" i="7"/>
  <c r="C103" i="7"/>
  <c r="D103" i="7"/>
  <c r="C104" i="7"/>
  <c r="D104" i="7"/>
  <c r="C105" i="7"/>
  <c r="D105" i="7"/>
  <c r="C106" i="7"/>
  <c r="D106" i="7"/>
  <c r="C107" i="7"/>
  <c r="D107" i="7"/>
  <c r="C108" i="7"/>
  <c r="D108" i="7"/>
  <c r="C109" i="7"/>
  <c r="D109" i="7"/>
  <c r="C110" i="7"/>
  <c r="C111" i="7" s="1"/>
  <c r="D110" i="7"/>
  <c r="D10" i="7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" i="4"/>
  <c r="I10" i="2"/>
  <c r="K10" i="2"/>
  <c r="E10" i="2"/>
  <c r="C10" i="2"/>
  <c r="C112" i="7" l="1"/>
  <c r="C113" i="7" s="1"/>
  <c r="C114" i="7" s="1"/>
  <c r="D111" i="7"/>
  <c r="D112" i="7" s="1"/>
  <c r="D113" i="7" s="1"/>
  <c r="D114" i="7" s="1"/>
  <c r="J123" i="9"/>
  <c r="K123" i="9"/>
  <c r="J135" i="9"/>
  <c r="K135" i="9"/>
  <c r="J119" i="9"/>
  <c r="K119" i="9"/>
  <c r="J139" i="9"/>
  <c r="K139" i="9"/>
  <c r="K209" i="9"/>
  <c r="K205" i="9"/>
  <c r="K201" i="9"/>
  <c r="K197" i="9"/>
  <c r="K193" i="9"/>
  <c r="K189" i="9"/>
  <c r="K185" i="9"/>
  <c r="K181" i="9"/>
  <c r="K175" i="9"/>
  <c r="J172" i="9"/>
  <c r="K167" i="9"/>
  <c r="J164" i="9"/>
  <c r="K159" i="9"/>
  <c r="J156" i="9"/>
  <c r="K151" i="9"/>
  <c r="J148" i="9"/>
  <c r="K143" i="9"/>
  <c r="J140" i="9"/>
  <c r="J131" i="9"/>
  <c r="K131" i="9"/>
  <c r="J124" i="9"/>
  <c r="J115" i="9"/>
  <c r="K115" i="9"/>
  <c r="J108" i="9"/>
  <c r="K108" i="9"/>
  <c r="J104" i="9"/>
  <c r="K104" i="9"/>
  <c r="J100" i="9"/>
  <c r="K100" i="9"/>
  <c r="J96" i="9"/>
  <c r="K96" i="9"/>
  <c r="J92" i="9"/>
  <c r="K92" i="9"/>
  <c r="J88" i="9"/>
  <c r="K88" i="9"/>
  <c r="J84" i="9"/>
  <c r="K84" i="9"/>
  <c r="J80" i="9"/>
  <c r="K80" i="9"/>
  <c r="J76" i="9"/>
  <c r="K76" i="9"/>
  <c r="J72" i="9"/>
  <c r="K72" i="9"/>
  <c r="J68" i="9"/>
  <c r="K68" i="9"/>
  <c r="J64" i="9"/>
  <c r="K64" i="9"/>
  <c r="J60" i="9"/>
  <c r="K60" i="9"/>
  <c r="J56" i="9"/>
  <c r="K56" i="9"/>
  <c r="J52" i="9"/>
  <c r="K52" i="9"/>
  <c r="J48" i="9"/>
  <c r="K48" i="9"/>
  <c r="J44" i="9"/>
  <c r="K44" i="9"/>
  <c r="J40" i="9"/>
  <c r="K40" i="9"/>
  <c r="J36" i="9"/>
  <c r="K36" i="9"/>
  <c r="J32" i="9"/>
  <c r="K32" i="9"/>
  <c r="J28" i="9"/>
  <c r="K28" i="9"/>
  <c r="J24" i="9"/>
  <c r="K24" i="9"/>
  <c r="J20" i="9"/>
  <c r="K20" i="9"/>
  <c r="J16" i="9"/>
  <c r="K16" i="9"/>
  <c r="J12" i="9"/>
  <c r="K12" i="9"/>
  <c r="J136" i="9"/>
  <c r="J127" i="9"/>
  <c r="K127" i="9"/>
  <c r="J120" i="9"/>
  <c r="J111" i="9"/>
  <c r="K111" i="9"/>
  <c r="K107" i="9"/>
  <c r="K103" i="9"/>
  <c r="K99" i="9"/>
  <c r="K95" i="9"/>
  <c r="K91" i="9"/>
  <c r="K87" i="9"/>
  <c r="K83" i="9"/>
  <c r="K79" i="9"/>
  <c r="K75" i="9"/>
  <c r="K71" i="9"/>
  <c r="K67" i="9"/>
  <c r="K63" i="9"/>
  <c r="K59" i="9"/>
  <c r="K55" i="9"/>
  <c r="K51" i="9"/>
  <c r="K47" i="9"/>
  <c r="K43" i="9"/>
  <c r="K39" i="9"/>
  <c r="K35" i="9"/>
  <c r="K31" i="9"/>
  <c r="K27" i="9"/>
  <c r="K23" i="9"/>
  <c r="K19" i="9"/>
  <c r="K15" i="9"/>
  <c r="K11" i="9"/>
  <c r="D108" i="9"/>
  <c r="E108" i="9"/>
  <c r="D92" i="9"/>
  <c r="E92" i="9"/>
  <c r="D76" i="9"/>
  <c r="E76" i="9"/>
  <c r="E208" i="9"/>
  <c r="E204" i="9"/>
  <c r="E200" i="9"/>
  <c r="E196" i="9"/>
  <c r="E192" i="9"/>
  <c r="E188" i="9"/>
  <c r="E184" i="9"/>
  <c r="E178" i="9"/>
  <c r="E170" i="9"/>
  <c r="E162" i="9"/>
  <c r="E154" i="9"/>
  <c r="E146" i="9"/>
  <c r="D136" i="9"/>
  <c r="E136" i="9"/>
  <c r="D120" i="9"/>
  <c r="E120" i="9"/>
  <c r="D104" i="9"/>
  <c r="E104" i="9"/>
  <c r="D88" i="9"/>
  <c r="E88" i="9"/>
  <c r="D72" i="9"/>
  <c r="E72" i="9"/>
  <c r="D68" i="9"/>
  <c r="E68" i="9"/>
  <c r="D64" i="9"/>
  <c r="E64" i="9"/>
  <c r="D60" i="9"/>
  <c r="E60" i="9"/>
  <c r="D56" i="9"/>
  <c r="E56" i="9"/>
  <c r="D52" i="9"/>
  <c r="E52" i="9"/>
  <c r="D48" i="9"/>
  <c r="E48" i="9"/>
  <c r="D44" i="9"/>
  <c r="E44" i="9"/>
  <c r="D40" i="9"/>
  <c r="E40" i="9"/>
  <c r="D36" i="9"/>
  <c r="E36" i="9"/>
  <c r="D32" i="9"/>
  <c r="E32" i="9"/>
  <c r="D28" i="9"/>
  <c r="E28" i="9"/>
  <c r="D24" i="9"/>
  <c r="E24" i="9"/>
  <c r="D20" i="9"/>
  <c r="E20" i="9"/>
  <c r="D16" i="9"/>
  <c r="E16" i="9"/>
  <c r="D140" i="9"/>
  <c r="E140" i="9"/>
  <c r="D124" i="9"/>
  <c r="E124" i="9"/>
  <c r="E209" i="9"/>
  <c r="E205" i="9"/>
  <c r="E201" i="9"/>
  <c r="E197" i="9"/>
  <c r="E193" i="9"/>
  <c r="E189" i="9"/>
  <c r="E185" i="9"/>
  <c r="D181" i="9"/>
  <c r="E176" i="9"/>
  <c r="D173" i="9"/>
  <c r="E168" i="9"/>
  <c r="D165" i="9"/>
  <c r="E160" i="9"/>
  <c r="D157" i="9"/>
  <c r="E152" i="9"/>
  <c r="D149" i="9"/>
  <c r="E144" i="9"/>
  <c r="D141" i="9"/>
  <c r="D132" i="9"/>
  <c r="E132" i="9"/>
  <c r="D125" i="9"/>
  <c r="D116" i="9"/>
  <c r="E116" i="9"/>
  <c r="D100" i="9"/>
  <c r="E100" i="9"/>
  <c r="D84" i="9"/>
  <c r="E84" i="9"/>
  <c r="D12" i="9"/>
  <c r="E12" i="9"/>
  <c r="D137" i="9"/>
  <c r="D128" i="9"/>
  <c r="E128" i="9"/>
  <c r="D121" i="9"/>
  <c r="D112" i="9"/>
  <c r="E112" i="9"/>
  <c r="D96" i="9"/>
  <c r="E96" i="9"/>
  <c r="D80" i="9"/>
  <c r="E80" i="9"/>
  <c r="E11" i="9"/>
  <c r="E10" i="9"/>
  <c r="J10" i="9"/>
  <c r="J10" i="2"/>
</calcChain>
</file>

<file path=xl/sharedStrings.xml><?xml version="1.0" encoding="utf-8"?>
<sst xmlns="http://schemas.openxmlformats.org/spreadsheetml/2006/main" count="75" uniqueCount="24">
  <si>
    <t>n</t>
    <phoneticPr fontId="1"/>
  </si>
  <si>
    <t>cos</t>
    <phoneticPr fontId="1"/>
  </si>
  <si>
    <t>sin</t>
    <phoneticPr fontId="1"/>
  </si>
  <si>
    <t>周期</t>
    <rPh sb="0" eb="2">
      <t>シュウキ</t>
    </rPh>
    <phoneticPr fontId="1"/>
  </si>
  <si>
    <t>n</t>
    <phoneticPr fontId="1"/>
  </si>
  <si>
    <t>r</t>
    <phoneticPr fontId="1"/>
  </si>
  <si>
    <t>x</t>
    <phoneticPr fontId="1"/>
  </si>
  <si>
    <t>y</t>
    <phoneticPr fontId="1"/>
  </si>
  <si>
    <t>アルキメデス螺旋</t>
    <rPh sb="6" eb="8">
      <t>ラセン</t>
    </rPh>
    <phoneticPr fontId="1"/>
  </si>
  <si>
    <t>ベルヌーイ螺旋</t>
    <rPh sb="5" eb="7">
      <t>ラセン</t>
    </rPh>
    <phoneticPr fontId="1"/>
  </si>
  <si>
    <t>x</t>
    <phoneticPr fontId="1"/>
  </si>
  <si>
    <t>y</t>
    <phoneticPr fontId="1"/>
  </si>
  <si>
    <t>R</t>
    <phoneticPr fontId="1"/>
  </si>
  <si>
    <t>エピサイクロイド</t>
    <phoneticPr fontId="1"/>
  </si>
  <si>
    <t>ハイポサイクロイド</t>
    <phoneticPr fontId="1"/>
  </si>
  <si>
    <t>a</t>
    <phoneticPr fontId="1"/>
  </si>
  <si>
    <t>b</t>
    <phoneticPr fontId="1"/>
  </si>
  <si>
    <t>N</t>
    <phoneticPr fontId="1"/>
  </si>
  <si>
    <t>R</t>
    <phoneticPr fontId="1"/>
  </si>
  <si>
    <t>r</t>
    <phoneticPr fontId="1"/>
  </si>
  <si>
    <t>d</t>
    <phoneticPr fontId="1"/>
  </si>
  <si>
    <t>N</t>
    <phoneticPr fontId="1"/>
  </si>
  <si>
    <t>a</t>
    <phoneticPr fontId="1"/>
  </si>
  <si>
    <t>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</si>
</sst>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'【解答】演習問題１（円上の糸掛け） '!$D$9</c:f>
              <c:strCache>
                <c:ptCount val="1"/>
                <c:pt idx="0">
                  <c:v>sin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'【解答】演習問題１（円上の糸掛け） '!$C$10:$C$110</c:f>
              <c:numCache>
                <c:formatCode>General</c:formatCode>
                <c:ptCount val="101"/>
                <c:pt idx="0">
                  <c:v>1</c:v>
                </c:pt>
                <c:pt idx="1">
                  <c:v>-0.36812455268467775</c:v>
                </c:pt>
                <c:pt idx="2">
                  <c:v>-0.72896862742141177</c:v>
                </c:pt>
                <c:pt idx="3">
                  <c:v>0.90482705246601935</c:v>
                </c:pt>
                <c:pt idx="4">
                  <c:v>6.2790519529314207E-2</c:v>
                </c:pt>
                <c:pt idx="5">
                  <c:v>-0.95105651629515364</c:v>
                </c:pt>
                <c:pt idx="6">
                  <c:v>0.63742398974868908</c:v>
                </c:pt>
                <c:pt idx="7">
                  <c:v>0.48175367410171638</c:v>
                </c:pt>
                <c:pt idx="8">
                  <c:v>-0.99211470131447765</c:v>
                </c:pt>
                <c:pt idx="9">
                  <c:v>0.24868988716485446</c:v>
                </c:pt>
                <c:pt idx="10">
                  <c:v>0.8090169943749479</c:v>
                </c:pt>
                <c:pt idx="11">
                  <c:v>-0.84432792550201252</c:v>
                </c:pt>
                <c:pt idx="12">
                  <c:v>-0.18738131458572621</c:v>
                </c:pt>
                <c:pt idx="13">
                  <c:v>0.98228725072868839</c:v>
                </c:pt>
                <c:pt idx="14">
                  <c:v>-0.53582679497899455</c:v>
                </c:pt>
                <c:pt idx="15">
                  <c:v>-0.58778525229247547</c:v>
                </c:pt>
                <c:pt idx="16">
                  <c:v>0.9685831611286303</c:v>
                </c:pt>
                <c:pt idx="17">
                  <c:v>-0.12533323356430401</c:v>
                </c:pt>
                <c:pt idx="18">
                  <c:v>-0.87630668004386392</c:v>
                </c:pt>
                <c:pt idx="19">
                  <c:v>0.77051324277578859</c:v>
                </c:pt>
                <c:pt idx="20">
                  <c:v>0.30901699437494889</c:v>
                </c:pt>
                <c:pt idx="21">
                  <c:v>-0.99802672842827167</c:v>
                </c:pt>
                <c:pt idx="22">
                  <c:v>0.42577929156506406</c:v>
                </c:pt>
                <c:pt idx="23">
                  <c:v>0.68454710592869072</c:v>
                </c:pt>
                <c:pt idx="24">
                  <c:v>-0.92977648588825024</c:v>
                </c:pt>
                <c:pt idx="25">
                  <c:v>-3.6753369445086115E-15</c:v>
                </c:pt>
                <c:pt idx="26">
                  <c:v>0.92977648588825035</c:v>
                </c:pt>
                <c:pt idx="27">
                  <c:v>-0.6845471059286905</c:v>
                </c:pt>
                <c:pt idx="28">
                  <c:v>-0.42577929156507716</c:v>
                </c:pt>
                <c:pt idx="29">
                  <c:v>0.99802672842827167</c:v>
                </c:pt>
                <c:pt idx="30">
                  <c:v>-0.3090169943749419</c:v>
                </c:pt>
                <c:pt idx="31">
                  <c:v>-0.7705132427757887</c:v>
                </c:pt>
                <c:pt idx="32">
                  <c:v>0.87630668004386036</c:v>
                </c:pt>
                <c:pt idx="33">
                  <c:v>0.12533323356430426</c:v>
                </c:pt>
                <c:pt idx="34">
                  <c:v>-0.96858316112863119</c:v>
                </c:pt>
                <c:pt idx="35">
                  <c:v>0.58778525229246092</c:v>
                </c:pt>
                <c:pt idx="36">
                  <c:v>0.53582679497899777</c:v>
                </c:pt>
                <c:pt idx="37">
                  <c:v>-0.98228725072868839</c:v>
                </c:pt>
                <c:pt idx="38">
                  <c:v>0.18738131458572249</c:v>
                </c:pt>
                <c:pt idx="39">
                  <c:v>0.84432792550201652</c:v>
                </c:pt>
                <c:pt idx="40">
                  <c:v>-0.80901699437494567</c:v>
                </c:pt>
                <c:pt idx="41">
                  <c:v>-0.24868988716485815</c:v>
                </c:pt>
                <c:pt idx="42">
                  <c:v>0.99211470131447832</c:v>
                </c:pt>
                <c:pt idx="43">
                  <c:v>-0.48175367410171149</c:v>
                </c:pt>
                <c:pt idx="44">
                  <c:v>-0.63742398974870429</c:v>
                </c:pt>
                <c:pt idx="45">
                  <c:v>0.95105651629515198</c:v>
                </c:pt>
                <c:pt idx="46">
                  <c:v>-6.2790519529307767E-2</c:v>
                </c:pt>
                <c:pt idx="47">
                  <c:v>-0.90482705246601602</c:v>
                </c:pt>
                <c:pt idx="48">
                  <c:v>0.72896862742140711</c:v>
                </c:pt>
                <c:pt idx="49">
                  <c:v>0.36812455268468441</c:v>
                </c:pt>
                <c:pt idx="50">
                  <c:v>-1</c:v>
                </c:pt>
                <c:pt idx="51">
                  <c:v>0.36812455268468391</c:v>
                </c:pt>
                <c:pt idx="52">
                  <c:v>0.72896862742140744</c:v>
                </c:pt>
                <c:pt idx="53">
                  <c:v>-0.9048270524660158</c:v>
                </c:pt>
                <c:pt idx="54">
                  <c:v>-6.2790519529308253E-2</c:v>
                </c:pt>
                <c:pt idx="55">
                  <c:v>0.95105651629515209</c:v>
                </c:pt>
                <c:pt idx="56">
                  <c:v>-0.63742398974868208</c:v>
                </c:pt>
                <c:pt idx="57">
                  <c:v>-0.48175367410172437</c:v>
                </c:pt>
                <c:pt idx="58">
                  <c:v>0.99211470131447821</c:v>
                </c:pt>
                <c:pt idx="59">
                  <c:v>-0.24868988716484391</c:v>
                </c:pt>
                <c:pt idx="60">
                  <c:v>-0.80901699437495433</c:v>
                </c:pt>
                <c:pt idx="61">
                  <c:v>0.84432792550200864</c:v>
                </c:pt>
                <c:pt idx="62">
                  <c:v>0.18738131458572296</c:v>
                </c:pt>
                <c:pt idx="63">
                  <c:v>-0.9822872507286885</c:v>
                </c:pt>
                <c:pt idx="64">
                  <c:v>0.53582679497898533</c:v>
                </c:pt>
                <c:pt idx="65">
                  <c:v>0.5877852522924728</c:v>
                </c:pt>
                <c:pt idx="66">
                  <c:v>-0.96858316112863108</c:v>
                </c:pt>
                <c:pt idx="67">
                  <c:v>0.12533323356428969</c:v>
                </c:pt>
                <c:pt idx="68">
                  <c:v>0.87630668004386403</c:v>
                </c:pt>
                <c:pt idx="69">
                  <c:v>-0.77051324277577937</c:v>
                </c:pt>
                <c:pt idx="70">
                  <c:v>-0.30901699437497615</c:v>
                </c:pt>
                <c:pt idx="71">
                  <c:v>0.99802672842827078</c:v>
                </c:pt>
                <c:pt idx="72">
                  <c:v>-0.42577929156507027</c:v>
                </c:pt>
                <c:pt idx="73">
                  <c:v>-0.68454710592870127</c:v>
                </c:pt>
                <c:pt idx="74">
                  <c:v>0.92977648588825013</c:v>
                </c:pt>
                <c:pt idx="75">
                  <c:v>1.8131438191126836E-14</c:v>
                </c:pt>
                <c:pt idx="76">
                  <c:v>-0.92977648588825301</c:v>
                </c:pt>
                <c:pt idx="77">
                  <c:v>0.6845471059286955</c:v>
                </c:pt>
                <c:pt idx="78">
                  <c:v>0.42577929156507738</c:v>
                </c:pt>
                <c:pt idx="79">
                  <c:v>-0.99802672842827211</c:v>
                </c:pt>
                <c:pt idx="80">
                  <c:v>0.30901699437494162</c:v>
                </c:pt>
                <c:pt idx="81">
                  <c:v>0.77051324277580246</c:v>
                </c:pt>
                <c:pt idx="82">
                  <c:v>-0.87630668004386025</c:v>
                </c:pt>
                <c:pt idx="83">
                  <c:v>-0.12533323356429746</c:v>
                </c:pt>
                <c:pt idx="84">
                  <c:v>0.96858316112863307</c:v>
                </c:pt>
                <c:pt idx="85">
                  <c:v>-0.58778525229245493</c:v>
                </c:pt>
                <c:pt idx="86">
                  <c:v>-0.53582679497900398</c:v>
                </c:pt>
                <c:pt idx="87">
                  <c:v>0.98228725072868428</c:v>
                </c:pt>
                <c:pt idx="88">
                  <c:v>-0.18738131458568735</c:v>
                </c:pt>
                <c:pt idx="89">
                  <c:v>-0.84432792550201285</c:v>
                </c:pt>
                <c:pt idx="90">
                  <c:v>0.80901699437494135</c:v>
                </c:pt>
                <c:pt idx="91">
                  <c:v>0.24868988716485149</c:v>
                </c:pt>
                <c:pt idx="92">
                  <c:v>-0.99211470131447921</c:v>
                </c:pt>
                <c:pt idx="93">
                  <c:v>0.48175367410169256</c:v>
                </c:pt>
                <c:pt idx="94">
                  <c:v>0.6374239897486772</c:v>
                </c:pt>
                <c:pt idx="95">
                  <c:v>-0.95105651629515409</c:v>
                </c:pt>
                <c:pt idx="96">
                  <c:v>6.2790519529300426E-2</c:v>
                </c:pt>
                <c:pt idx="97">
                  <c:v>0.90482705246601913</c:v>
                </c:pt>
                <c:pt idx="98">
                  <c:v>-0.728968627421402</c:v>
                </c:pt>
                <c:pt idx="99">
                  <c:v>-0.36812455268467803</c:v>
                </c:pt>
                <c:pt idx="100">
                  <c:v>1</c:v>
                </c:pt>
              </c:numCache>
            </c:numRef>
          </c:xVal>
          <c:yVal>
            <c:numRef>
              <c:f>'【解答】演習問題１（円上の糸掛け）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0.92977648588825146</c:v>
                </c:pt>
                <c:pt idx="2">
                  <c:v>-0.68454710592868839</c:v>
                </c:pt>
                <c:pt idx="3">
                  <c:v>-0.42577929156507299</c:v>
                </c:pt>
                <c:pt idx="4">
                  <c:v>0.99802672842827156</c:v>
                </c:pt>
                <c:pt idx="5">
                  <c:v>-0.30901699437494706</c:v>
                </c:pt>
                <c:pt idx="6">
                  <c:v>-0.7705132427757897</c:v>
                </c:pt>
                <c:pt idx="7">
                  <c:v>0.87630668004386303</c:v>
                </c:pt>
                <c:pt idx="8">
                  <c:v>0.1253332335643059</c:v>
                </c:pt>
                <c:pt idx="9">
                  <c:v>-0.96858316112863119</c:v>
                </c:pt>
                <c:pt idx="10">
                  <c:v>0.58778525229247247</c:v>
                </c:pt>
                <c:pt idx="11">
                  <c:v>0.53582679497900065</c:v>
                </c:pt>
                <c:pt idx="12">
                  <c:v>-0.98228725072868839</c:v>
                </c:pt>
                <c:pt idx="13">
                  <c:v>0.1873813145857261</c:v>
                </c:pt>
                <c:pt idx="14">
                  <c:v>0.84432792550201641</c:v>
                </c:pt>
                <c:pt idx="15">
                  <c:v>-0.80901699437494567</c:v>
                </c:pt>
                <c:pt idx="16">
                  <c:v>-0.24868988716485804</c:v>
                </c:pt>
                <c:pt idx="17">
                  <c:v>0.99211470131447788</c:v>
                </c:pt>
                <c:pt idx="18">
                  <c:v>-0.48175367410171471</c:v>
                </c:pt>
                <c:pt idx="19">
                  <c:v>-0.63742398974869052</c:v>
                </c:pt>
                <c:pt idx="20">
                  <c:v>0.95105651629515309</c:v>
                </c:pt>
                <c:pt idx="21">
                  <c:v>-6.2790519529311431E-2</c:v>
                </c:pt>
                <c:pt idx="22">
                  <c:v>-0.90482705246602357</c:v>
                </c:pt>
                <c:pt idx="23">
                  <c:v>0.72896862742140955</c:v>
                </c:pt>
                <c:pt idx="24">
                  <c:v>0.36812455268468097</c:v>
                </c:pt>
                <c:pt idx="25">
                  <c:v>-1</c:v>
                </c:pt>
                <c:pt idx="26">
                  <c:v>0.36812455268468075</c:v>
                </c:pt>
                <c:pt idx="27">
                  <c:v>0.72896862742140978</c:v>
                </c:pt>
                <c:pt idx="28">
                  <c:v>-0.90482705246601747</c:v>
                </c:pt>
                <c:pt idx="29">
                  <c:v>-6.2790519529311681E-2</c:v>
                </c:pt>
                <c:pt idx="30">
                  <c:v>0.95105651629515542</c:v>
                </c:pt>
                <c:pt idx="31">
                  <c:v>-0.63742398974869041</c:v>
                </c:pt>
                <c:pt idx="32">
                  <c:v>-0.48175367410172115</c:v>
                </c:pt>
                <c:pt idx="33">
                  <c:v>0.99211470131447788</c:v>
                </c:pt>
                <c:pt idx="34">
                  <c:v>-0.24868988716485435</c:v>
                </c:pt>
                <c:pt idx="35">
                  <c:v>-0.80901699437495633</c:v>
                </c:pt>
                <c:pt idx="36">
                  <c:v>0.84432792550201441</c:v>
                </c:pt>
                <c:pt idx="37">
                  <c:v>0.18738131458572635</c:v>
                </c:pt>
                <c:pt idx="38">
                  <c:v>-0.98228725072868905</c:v>
                </c:pt>
                <c:pt idx="39">
                  <c:v>0.53582679497899444</c:v>
                </c:pt>
                <c:pt idx="40">
                  <c:v>0.58778525229247558</c:v>
                </c:pt>
                <c:pt idx="41">
                  <c:v>-0.9685831611286303</c:v>
                </c:pt>
                <c:pt idx="42">
                  <c:v>0.12533323356430037</c:v>
                </c:pt>
                <c:pt idx="43">
                  <c:v>0.87630668004386569</c:v>
                </c:pt>
                <c:pt idx="44">
                  <c:v>-0.77051324277577715</c:v>
                </c:pt>
                <c:pt idx="45">
                  <c:v>-0.30901699437495239</c:v>
                </c:pt>
                <c:pt idx="46">
                  <c:v>0.99802672842827189</c:v>
                </c:pt>
                <c:pt idx="47">
                  <c:v>-0.42577929156508004</c:v>
                </c:pt>
                <c:pt idx="48">
                  <c:v>-0.68454710592869339</c:v>
                </c:pt>
                <c:pt idx="49">
                  <c:v>0.9297764858882489</c:v>
                </c:pt>
                <c:pt idx="50">
                  <c:v>7.350673889017223E-15</c:v>
                </c:pt>
                <c:pt idx="51">
                  <c:v>-0.92977648588824902</c:v>
                </c:pt>
                <c:pt idx="52">
                  <c:v>0.68454710592869306</c:v>
                </c:pt>
                <c:pt idx="53">
                  <c:v>0.42577929156508049</c:v>
                </c:pt>
                <c:pt idx="54">
                  <c:v>-0.99802672842827189</c:v>
                </c:pt>
                <c:pt idx="55">
                  <c:v>0.30901699437495189</c:v>
                </c:pt>
                <c:pt idx="56">
                  <c:v>0.77051324277579558</c:v>
                </c:pt>
                <c:pt idx="57">
                  <c:v>-0.87630668004385859</c:v>
                </c:pt>
                <c:pt idx="58">
                  <c:v>-0.12533323356430087</c:v>
                </c:pt>
                <c:pt idx="59">
                  <c:v>0.96858316112863396</c:v>
                </c:pt>
                <c:pt idx="60">
                  <c:v>-0.5877852522924637</c:v>
                </c:pt>
                <c:pt idx="61">
                  <c:v>-0.53582679497900687</c:v>
                </c:pt>
                <c:pt idx="62">
                  <c:v>0.98228725072868894</c:v>
                </c:pt>
                <c:pt idx="63">
                  <c:v>-0.18738131458572585</c:v>
                </c:pt>
                <c:pt idx="64">
                  <c:v>-0.84432792550202229</c:v>
                </c:pt>
                <c:pt idx="65">
                  <c:v>0.80901699437494767</c:v>
                </c:pt>
                <c:pt idx="66">
                  <c:v>0.24868988716485482</c:v>
                </c:pt>
                <c:pt idx="67">
                  <c:v>-0.99211470131447965</c:v>
                </c:pt>
                <c:pt idx="68">
                  <c:v>0.48175367410171449</c:v>
                </c:pt>
                <c:pt idx="69">
                  <c:v>0.63742398974870174</c:v>
                </c:pt>
                <c:pt idx="70">
                  <c:v>-0.95105651629514421</c:v>
                </c:pt>
                <c:pt idx="71">
                  <c:v>6.2790519529325364E-2</c:v>
                </c:pt>
                <c:pt idx="72">
                  <c:v>0.90482705246602069</c:v>
                </c:pt>
                <c:pt idx="73">
                  <c:v>-0.72896862742139967</c:v>
                </c:pt>
                <c:pt idx="74">
                  <c:v>-0.36812455268468119</c:v>
                </c:pt>
                <c:pt idx="75">
                  <c:v>1</c:v>
                </c:pt>
                <c:pt idx="76">
                  <c:v>-0.36812455268467392</c:v>
                </c:pt>
                <c:pt idx="77">
                  <c:v>-0.72896862742140511</c:v>
                </c:pt>
                <c:pt idx="78">
                  <c:v>0.90482705246601736</c:v>
                </c:pt>
                <c:pt idx="79">
                  <c:v>6.2790519529304825E-2</c:v>
                </c:pt>
                <c:pt idx="80">
                  <c:v>-0.95105651629515542</c:v>
                </c:pt>
                <c:pt idx="81">
                  <c:v>0.63742398974867376</c:v>
                </c:pt>
                <c:pt idx="82">
                  <c:v>0.48175367410172137</c:v>
                </c:pt>
                <c:pt idx="83">
                  <c:v>-0.99211470131447865</c:v>
                </c:pt>
                <c:pt idx="84">
                  <c:v>0.24868988716484725</c:v>
                </c:pt>
                <c:pt idx="85">
                  <c:v>0.80901699437496066</c:v>
                </c:pt>
                <c:pt idx="86">
                  <c:v>-0.84432792550201041</c:v>
                </c:pt>
                <c:pt idx="87">
                  <c:v>-0.18738131458574753</c:v>
                </c:pt>
                <c:pt idx="88">
                  <c:v>0.98228725072869583</c:v>
                </c:pt>
                <c:pt idx="89">
                  <c:v>-0.53582679497900021</c:v>
                </c:pt>
                <c:pt idx="90">
                  <c:v>-0.58778525229248157</c:v>
                </c:pt>
                <c:pt idx="91">
                  <c:v>0.96858316112863196</c:v>
                </c:pt>
                <c:pt idx="92">
                  <c:v>-0.12533323356429307</c:v>
                </c:pt>
                <c:pt idx="93">
                  <c:v>-0.87630668004387602</c:v>
                </c:pt>
                <c:pt idx="94">
                  <c:v>0.77051324277579958</c:v>
                </c:pt>
                <c:pt idx="95">
                  <c:v>0.30901699437494584</c:v>
                </c:pt>
                <c:pt idx="96">
                  <c:v>-0.99802672842827234</c:v>
                </c:pt>
                <c:pt idx="97">
                  <c:v>0.42577929156507338</c:v>
                </c:pt>
                <c:pt idx="98">
                  <c:v>0.68454710592869872</c:v>
                </c:pt>
                <c:pt idx="99">
                  <c:v>-0.92977648588825135</c:v>
                </c:pt>
                <c:pt idx="100">
                  <c:v>-1.4701347778034446E-14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69-42B8-9006-E0DDD5A94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619536"/>
        <c:axId val="784622816"/>
      </c:scatterChart>
      <c:valAx>
        <c:axId val="784619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84622816"/>
        <c:crosses val="autoZero"/>
        <c:crossBetween val="midCat"/>
      </c:valAx>
      <c:valAx>
        <c:axId val="7846228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8461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アルキメデス螺旋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'【解答】演習問題２（螺旋）'!$E$9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'【解答】演習問題２（螺旋）'!$D$10:$D$210</c:f>
              <c:numCache>
                <c:formatCode>General</c:formatCode>
                <c:ptCount val="201"/>
                <c:pt idx="0">
                  <c:v>0</c:v>
                </c:pt>
                <c:pt idx="1">
                  <c:v>4.9605735065723897E-2</c:v>
                </c:pt>
                <c:pt idx="2">
                  <c:v>9.6858316112863108E-2</c:v>
                </c:pt>
                <c:pt idx="3">
                  <c:v>0.13946647288323774</c:v>
                </c:pt>
                <c:pt idx="4">
                  <c:v>0.17526133600877272</c:v>
                </c:pt>
                <c:pt idx="5">
                  <c:v>0.20225424859373686</c:v>
                </c:pt>
                <c:pt idx="6">
                  <c:v>0.21869058822642351</c:v>
                </c:pt>
                <c:pt idx="7">
                  <c:v>0.22309839641204143</c:v>
                </c:pt>
                <c:pt idx="8">
                  <c:v>0.21433071799159864</c:v>
                </c:pt>
                <c:pt idx="9">
                  <c:v>0.1916006812042827</c:v>
                </c:pt>
                <c:pt idx="10">
                  <c:v>0.15450849718747373</c:v>
                </c:pt>
                <c:pt idx="11">
                  <c:v>0.10305972302214861</c:v>
                </c:pt>
                <c:pt idx="12">
                  <c:v>3.7674311717588123E-2</c:v>
                </c:pt>
                <c:pt idx="13">
                  <c:v>-4.0813837694053716E-2</c:v>
                </c:pt>
                <c:pt idx="14">
                  <c:v>-0.13116692021000723</c:v>
                </c:pt>
                <c:pt idx="15">
                  <c:v>-0.23176274578121034</c:v>
                </c:pt>
                <c:pt idx="16">
                  <c:v>-0.34062343325205818</c:v>
                </c:pt>
                <c:pt idx="17">
                  <c:v>-0.45545277573214737</c:v>
                </c:pt>
                <c:pt idx="18">
                  <c:v>-0.57368159077382075</c:v>
                </c:pt>
                <c:pt idx="19">
                  <c:v>-0.69252019605034076</c:v>
                </c:pt>
                <c:pt idx="20">
                  <c:v>-0.80901699437494734</c:v>
                </c:pt>
                <c:pt idx="21">
                  <c:v>-0.92012201404605676</c:v>
                </c:pt>
                <c:pt idx="22">
                  <c:v>-1.0227541344770765</c:v>
                </c:pt>
                <c:pt idx="23">
                  <c:v>-1.1138706352979257</c:v>
                </c:pt>
                <c:pt idx="24">
                  <c:v>-1.1905376415773734</c:v>
                </c:pt>
                <c:pt idx="25">
                  <c:v>-1.25</c:v>
                </c:pt>
                <c:pt idx="26">
                  <c:v>-1.2897491117088213</c:v>
                </c:pt>
                <c:pt idx="27">
                  <c:v>-1.3075872675236522</c:v>
                </c:pt>
                <c:pt idx="28">
                  <c:v>-1.3016870802435521</c:v>
                </c:pt>
                <c:pt idx="29">
                  <c:v>-1.2706446860636023</c:v>
                </c:pt>
                <c:pt idx="30">
                  <c:v>-1.2135254915624216</c:v>
                </c:pt>
                <c:pt idx="31">
                  <c:v>-1.1299013725031883</c:v>
                </c:pt>
                <c:pt idx="32">
                  <c:v>-1.0198783835979033</c:v>
                </c:pt>
                <c:pt idx="33">
                  <c:v>-0.88411421171534399</c:v>
                </c:pt>
                <c:pt idx="34">
                  <c:v>-0.72382479566062274</c:v>
                </c:pt>
                <c:pt idx="35">
                  <c:v>-0.54077974015615826</c:v>
                </c:pt>
                <c:pt idx="36">
                  <c:v>-0.33728636625430436</c:v>
                </c:pt>
                <c:pt idx="37">
                  <c:v>-0.11616246112922944</c:v>
                </c:pt>
                <c:pt idx="38">
                  <c:v>0.1193019871056944</c:v>
                </c:pt>
                <c:pt idx="39">
                  <c:v>0.36539356344216234</c:v>
                </c:pt>
                <c:pt idx="40">
                  <c:v>0.61803398874989446</c:v>
                </c:pt>
                <c:pt idx="41">
                  <c:v>0.87284754770839734</c:v>
                </c:pt>
                <c:pt idx="42">
                  <c:v>1.1252362694558933</c:v>
                </c:pt>
                <c:pt idx="43">
                  <c:v>1.370461577959682</c:v>
                </c:pt>
                <c:pt idx="44">
                  <c:v>1.6037309803271047</c:v>
                </c:pt>
                <c:pt idx="45">
                  <c:v>1.8202882373436315</c:v>
                </c:pt>
                <c:pt idx="46">
                  <c:v>2.0155053641008855</c:v>
                </c:pt>
                <c:pt idx="47">
                  <c:v>2.184974741837391</c:v>
                </c:pt>
                <c:pt idx="48">
                  <c:v>2.3245995867087146</c:v>
                </c:pt>
                <c:pt idx="49">
                  <c:v>2.4306810182204708</c:v>
                </c:pt>
                <c:pt idx="50">
                  <c:v>2.5</c:v>
                </c:pt>
                <c:pt idx="51">
                  <c:v>2.5298924883519187</c:v>
                </c:pt>
                <c:pt idx="52">
                  <c:v>2.5183162189344408</c:v>
                </c:pt>
                <c:pt idx="53">
                  <c:v>2.4639076876038666</c:v>
                </c:pt>
                <c:pt idx="54">
                  <c:v>2.3660280361184323</c:v>
                </c:pt>
                <c:pt idx="55">
                  <c:v>2.2247967345311057</c:v>
                </c:pt>
                <c:pt idx="56">
                  <c:v>2.0411121567799526</c:v>
                </c:pt>
                <c:pt idx="57">
                  <c:v>1.8166583707837674</c:v>
                </c:pt>
                <c:pt idx="58">
                  <c:v>1.5538977054390899</c:v>
                </c:pt>
                <c:pt idx="59">
                  <c:v>1.2560489101169656</c:v>
                </c:pt>
                <c:pt idx="60">
                  <c:v>0.92705098312484568</c:v>
                </c:pt>
                <c:pt idx="61">
                  <c:v>0.57151300948646055</c:v>
                </c:pt>
                <c:pt idx="62">
                  <c:v>0.19465061054087404</c:v>
                </c:pt>
                <c:pt idx="63">
                  <c:v>-0.19779013651733784</c:v>
                </c:pt>
                <c:pt idx="64">
                  <c:v>-0.59962020667432014</c:v>
                </c:pt>
                <c:pt idx="65">
                  <c:v>-1.0043052317185781</c:v>
                </c:pt>
                <c:pt idx="66">
                  <c:v>-1.4050716621647421</c:v>
                </c:pt>
                <c:pt idx="67">
                  <c:v>-1.7950197631796387</c:v>
                </c:pt>
                <c:pt idx="68">
                  <c:v>-2.1672415651455479</c:v>
                </c:pt>
                <c:pt idx="69">
                  <c:v>-2.5149417646038708</c:v>
                </c:pt>
                <c:pt idx="70">
                  <c:v>-2.8315594803123152</c:v>
                </c:pt>
                <c:pt idx="71">
                  <c:v>-3.1108887141557173</c:v>
                </c:pt>
                <c:pt idx="72">
                  <c:v>-3.3471953491977051</c:v>
                </c:pt>
                <c:pt idx="73">
                  <c:v>-3.5353285381195034</c:v>
                </c:pt>
                <c:pt idx="74">
                  <c:v>-3.6708243948635682</c:v>
                </c:pt>
                <c:pt idx="75">
                  <c:v>-3.75</c:v>
                </c:pt>
                <c:pt idx="76">
                  <c:v>-3.7700358649950165</c:v>
                </c:pt>
                <c:pt idx="77">
                  <c:v>-3.7290451703452296</c:v>
                </c:pt>
                <c:pt idx="78">
                  <c:v>-3.626128294964182</c:v>
                </c:pt>
                <c:pt idx="79">
                  <c:v>-3.4614113861732609</c:v>
                </c:pt>
                <c:pt idx="80">
                  <c:v>-3.2360679774997907</c:v>
                </c:pt>
                <c:pt idx="81">
                  <c:v>-2.9523229410567198</c:v>
                </c:pt>
                <c:pt idx="82">
                  <c:v>-2.6134383579696339</c:v>
                </c:pt>
                <c:pt idx="83">
                  <c:v>-2.2236811991628325</c:v>
                </c:pt>
                <c:pt idx="84">
                  <c:v>-1.7882730245733041</c:v>
                </c:pt>
                <c:pt idx="85">
                  <c:v>-1.3133222260935282</c:v>
                </c:pt>
                <c:pt idx="86">
                  <c:v>-0.80573965271862069</c:v>
                </c:pt>
                <c:pt idx="87">
                  <c:v>-0.27313875995252124</c:v>
                </c:pt>
                <c:pt idx="88">
                  <c:v>0.27627828592897546</c:v>
                </c:pt>
                <c:pt idx="89">
                  <c:v>0.83384684990647584</c:v>
                </c:pt>
                <c:pt idx="90">
                  <c:v>1.3905764746872615</c:v>
                </c:pt>
                <c:pt idx="91">
                  <c:v>1.9372957766210757</c:v>
                </c:pt>
                <c:pt idx="92">
                  <c:v>2.4648032569033771</c:v>
                </c:pt>
                <c:pt idx="93">
                  <c:v>2.9640215523314044</c:v>
                </c:pt>
                <c:pt idx="94">
                  <c:v>3.4261525488806348</c:v>
                </c:pt>
                <c:pt idx="95">
                  <c:v>3.8428307232809988</c:v>
                </c:pt>
                <c:pt idx="96">
                  <c:v>4.2062720642105429</c:v>
                </c:pt>
                <c:pt idx="97">
                  <c:v>4.5094159565580192</c:v>
                </c:pt>
                <c:pt idx="98">
                  <c:v>4.7460574895302923</c:v>
                </c:pt>
                <c:pt idx="99">
                  <c:v>4.910967771506666</c:v>
                </c:pt>
                <c:pt idx="100">
                  <c:v>5</c:v>
                </c:pt>
                <c:pt idx="101">
                  <c:v>5.0101792416381148</c:v>
                </c:pt>
                <c:pt idx="102">
                  <c:v>4.9397741217560194</c:v>
                </c:pt>
                <c:pt idx="103">
                  <c:v>4.7883489023244961</c:v>
                </c:pt>
                <c:pt idx="104">
                  <c:v>4.5567947362280901</c:v>
                </c:pt>
                <c:pt idx="105">
                  <c:v>4.2473392204684757</c:v>
                </c:pt>
                <c:pt idx="106">
                  <c:v>3.8635337253334794</c:v>
                </c:pt>
                <c:pt idx="107">
                  <c:v>3.4102183451554913</c:v>
                </c:pt>
                <c:pt idx="108">
                  <c:v>2.8934646928865857</c:v>
                </c:pt>
                <c:pt idx="109">
                  <c:v>2.320497139029654</c:v>
                </c:pt>
                <c:pt idx="110">
                  <c:v>1.6995934690622136</c:v>
                </c:pt>
                <c:pt idx="111">
                  <c:v>1.0399662959507689</c:v>
                </c:pt>
                <c:pt idx="112">
                  <c:v>0.35162690936415603</c:v>
                </c:pt>
                <c:pt idx="113">
                  <c:v>-0.35476643534061547</c:v>
                </c:pt>
                <c:pt idx="114">
                  <c:v>-1.0680734931386213</c:v>
                </c:pt>
                <c:pt idx="115">
                  <c:v>-1.7768477176559543</c:v>
                </c:pt>
                <c:pt idx="116">
                  <c:v>-2.4695198910774243</c:v>
                </c:pt>
                <c:pt idx="117">
                  <c:v>-3.1345867506271294</c:v>
                </c:pt>
                <c:pt idx="118">
                  <c:v>-3.7608015395172649</c:v>
                </c:pt>
                <c:pt idx="119">
                  <c:v>-4.3373633331573922</c:v>
                </c:pt>
                <c:pt idx="120">
                  <c:v>-4.8541019662496758</c:v>
                </c:pt>
                <c:pt idx="121">
                  <c:v>-5.3016554142653769</c:v>
                </c:pt>
                <c:pt idx="122">
                  <c:v>-5.6716365639183337</c:v>
                </c:pt>
                <c:pt idx="123">
                  <c:v>-5.9567864409410802</c:v>
                </c:pt>
                <c:pt idx="124">
                  <c:v>-6.151111148149762</c:v>
                </c:pt>
                <c:pt idx="125">
                  <c:v>-6.25</c:v>
                </c:pt>
                <c:pt idx="126">
                  <c:v>-6.2503226182812108</c:v>
                </c:pt>
                <c:pt idx="127">
                  <c:v>-6.1505030731668082</c:v>
                </c:pt>
                <c:pt idx="128">
                  <c:v>-5.9505695096848079</c:v>
                </c:pt>
                <c:pt idx="129">
                  <c:v>-5.6521780862829205</c:v>
                </c:pt>
                <c:pt idx="130">
                  <c:v>-5.2586104634371607</c:v>
                </c:pt>
                <c:pt idx="131">
                  <c:v>-4.7747445096102519</c:v>
                </c:pt>
                <c:pt idx="132">
                  <c:v>-4.2069983323413442</c:v>
                </c:pt>
                <c:pt idx="133">
                  <c:v>-3.5632481866103234</c:v>
                </c:pt>
                <c:pt idx="134">
                  <c:v>-2.8527212534859867</c:v>
                </c:pt>
                <c:pt idx="135">
                  <c:v>-2.0858647120308995</c:v>
                </c:pt>
                <c:pt idx="136">
                  <c:v>-1.274192939182913</c:v>
                </c:pt>
                <c:pt idx="137">
                  <c:v>-0.43011505877578665</c:v>
                </c:pt>
                <c:pt idx="138">
                  <c:v>0.43325458475226747</c:v>
                </c:pt>
                <c:pt idx="139">
                  <c:v>1.3023001363707865</c:v>
                </c:pt>
                <c:pt idx="140">
                  <c:v>2.1631189606246277</c:v>
                </c:pt>
                <c:pt idx="141">
                  <c:v>3.0017440055337534</c:v>
                </c:pt>
                <c:pt idx="142">
                  <c:v>3.8043702443508853</c:v>
                </c:pt>
                <c:pt idx="143">
                  <c:v>4.5575815267031361</c:v>
                </c:pt>
                <c:pt idx="144">
                  <c:v>5.2485741174341634</c:v>
                </c:pt>
                <c:pt idx="145">
                  <c:v>5.8653732092183661</c:v>
                </c:pt>
                <c:pt idx="146">
                  <c:v>6.3970387643202002</c:v>
                </c:pt>
                <c:pt idx="147">
                  <c:v>6.8338571712786518</c:v>
                </c:pt>
                <c:pt idx="148">
                  <c:v>7.1675153923518717</c:v>
                </c:pt>
                <c:pt idx="149">
                  <c:v>7.3912545247928607</c:v>
                </c:pt>
                <c:pt idx="150">
                  <c:v>7.5</c:v>
                </c:pt>
                <c:pt idx="151">
                  <c:v>7.4904659949243095</c:v>
                </c:pt>
                <c:pt idx="152">
                  <c:v>7.3612320245776006</c:v>
                </c:pt>
                <c:pt idx="153">
                  <c:v>7.1127901170451215</c:v>
                </c:pt>
                <c:pt idx="154">
                  <c:v>6.7475614363377501</c:v>
                </c:pt>
                <c:pt idx="155">
                  <c:v>6.2698817064058465</c:v>
                </c:pt>
                <c:pt idx="156">
                  <c:v>5.6859552938870186</c:v>
                </c:pt>
                <c:pt idx="157">
                  <c:v>5.0037783195272283</c:v>
                </c:pt>
                <c:pt idx="158">
                  <c:v>4.2330316803340695</c:v>
                </c:pt>
                <c:pt idx="159">
                  <c:v>3.3849453679423283</c:v>
                </c:pt>
                <c:pt idx="160">
                  <c:v>2.4721359549995854</c:v>
                </c:pt>
                <c:pt idx="161">
                  <c:v>1.5084195824150952</c:v>
                </c:pt>
                <c:pt idx="162">
                  <c:v>0.50860320818745619</c:v>
                </c:pt>
                <c:pt idx="163">
                  <c:v>-0.51174273416388016</c:v>
                </c:pt>
                <c:pt idx="164">
                  <c:v>-1.5365267796029127</c:v>
                </c:pt>
                <c:pt idx="165">
                  <c:v>-2.5493902035932821</c:v>
                </c:pt>
                <c:pt idx="166">
                  <c:v>-3.5339681199901185</c:v>
                </c:pt>
                <c:pt idx="167">
                  <c:v>-4.474153738074631</c:v>
                </c:pt>
                <c:pt idx="168">
                  <c:v>-5.3543615138889979</c:v>
                </c:pt>
                <c:pt idx="169">
                  <c:v>-6.1597849017109274</c:v>
                </c:pt>
                <c:pt idx="170">
                  <c:v>-6.8766444521870485</c:v>
                </c:pt>
                <c:pt idx="171">
                  <c:v>-7.492422114375028</c:v>
                </c:pt>
                <c:pt idx="172">
                  <c:v>-7.9960777786389547</c:v>
                </c:pt>
                <c:pt idx="173">
                  <c:v>-8.3782443437626526</c:v>
                </c:pt>
                <c:pt idx="174">
                  <c:v>-8.6313979014359532</c:v>
                </c:pt>
                <c:pt idx="175">
                  <c:v>-8.75</c:v>
                </c:pt>
                <c:pt idx="176">
                  <c:v>-8.7306093715674074</c:v>
                </c:pt>
                <c:pt idx="177">
                  <c:v>-8.5719609759883824</c:v>
                </c:pt>
                <c:pt idx="178">
                  <c:v>-8.2750107244054369</c:v>
                </c:pt>
                <c:pt idx="179">
                  <c:v>-7.8429447863925814</c:v>
                </c:pt>
                <c:pt idx="180">
                  <c:v>-7.2811529493745315</c:v>
                </c:pt>
                <c:pt idx="181">
                  <c:v>-6.5971660781637853</c:v>
                </c:pt>
                <c:pt idx="182">
                  <c:v>-5.8005583067130928</c:v>
                </c:pt>
                <c:pt idx="183">
                  <c:v>-4.9028151740578432</c:v>
                </c:pt>
                <c:pt idx="184">
                  <c:v>-3.9171694823987</c:v>
                </c:pt>
                <c:pt idx="185">
                  <c:v>-2.8584071979682717</c:v>
                </c:pt>
                <c:pt idx="186">
                  <c:v>-1.7426462256472539</c:v>
                </c:pt>
                <c:pt idx="187">
                  <c:v>-0.58709135759906872</c:v>
                </c:pt>
                <c:pt idx="188">
                  <c:v>0.59023088357555042</c:v>
                </c:pt>
                <c:pt idx="189">
                  <c:v>1.7707534228350958</c:v>
                </c:pt>
                <c:pt idx="190">
                  <c:v>2.9356614465619923</c:v>
                </c:pt>
                <c:pt idx="191">
                  <c:v>4.0661922344464303</c:v>
                </c:pt>
                <c:pt idx="192">
                  <c:v>5.1439372317983496</c:v>
                </c:pt>
                <c:pt idx="193">
                  <c:v>6.1511415010748323</c:v>
                </c:pt>
                <c:pt idx="194">
                  <c:v>7.0709956859876906</c:v>
                </c:pt>
                <c:pt idx="195">
                  <c:v>7.8879156951557325</c:v>
                </c:pt>
                <c:pt idx="196">
                  <c:v>8.5878054644298558</c:v>
                </c:pt>
                <c:pt idx="197">
                  <c:v>9.1582983859992702</c:v>
                </c:pt>
                <c:pt idx="198">
                  <c:v>9.5889732951734494</c:v>
                </c:pt>
                <c:pt idx="199">
                  <c:v>9.8715412780790555</c:v>
                </c:pt>
                <c:pt idx="200">
                  <c:v>10</c:v>
                </c:pt>
              </c:numCache>
            </c:numRef>
          </c:xVal>
          <c:yVal>
            <c:numRef>
              <c:f>'【解答】演習問題２（螺旋）'!$E$10:$E$210</c:f>
              <c:numCache>
                <c:formatCode>General</c:formatCode>
                <c:ptCount val="201"/>
                <c:pt idx="0">
                  <c:v>0</c:v>
                </c:pt>
                <c:pt idx="1">
                  <c:v>6.2666616782152129E-3</c:v>
                </c:pt>
                <c:pt idx="2">
                  <c:v>2.486898871648548E-2</c:v>
                </c:pt>
                <c:pt idx="3">
                  <c:v>5.5218682902701696E-2</c:v>
                </c:pt>
                <c:pt idx="4">
                  <c:v>9.6350734820343065E-2</c:v>
                </c:pt>
                <c:pt idx="5">
                  <c:v>0.14694631307311828</c:v>
                </c:pt>
                <c:pt idx="6">
                  <c:v>0.2053641317786066</c:v>
                </c:pt>
                <c:pt idx="7">
                  <c:v>0.26967963497152625</c:v>
                </c:pt>
                <c:pt idx="8">
                  <c:v>0.33773117020080606</c:v>
                </c:pt>
                <c:pt idx="9">
                  <c:v>0.40717217360970881</c:v>
                </c:pt>
                <c:pt idx="10">
                  <c:v>0.47552825814757677</c:v>
                </c:pt>
                <c:pt idx="11">
                  <c:v>0.54025798790077872</c:v>
                </c:pt>
                <c:pt idx="12">
                  <c:v>0.59881603705696307</c:v>
                </c:pt>
                <c:pt idx="13">
                  <c:v>0.64871737347837655</c:v>
                </c:pt>
                <c:pt idx="14">
                  <c:v>0.6876010755100822</c:v>
                </c:pt>
                <c:pt idx="15">
                  <c:v>0.71329238722136523</c:v>
                </c:pt>
                <c:pt idx="16">
                  <c:v>0.72386164197281566</c:v>
                </c:pt>
                <c:pt idx="17">
                  <c:v>0.71767873667671278</c:v>
                </c:pt>
                <c:pt idx="18">
                  <c:v>0.69346191849821037</c:v>
                </c:pt>
                <c:pt idx="19">
                  <c:v>0.65031975063225445</c:v>
                </c:pt>
                <c:pt idx="20">
                  <c:v>0.58778525229247325</c:v>
                </c:pt>
                <c:pt idx="21">
                  <c:v>0.50584135780680095</c:v>
                </c:pt>
                <c:pt idx="22">
                  <c:v>0.40493700795314597</c:v>
                </c:pt>
                <c:pt idx="23">
                  <c:v>0.28599337023958354</c:v>
                </c:pt>
                <c:pt idx="24">
                  <c:v>0.15039988027716547</c:v>
                </c:pt>
                <c:pt idx="25">
                  <c:v>1.531435568635775E-16</c:v>
                </c:pt>
                <c:pt idx="26">
                  <c:v>-0.16293320363359559</c:v>
                </c:pt>
                <c:pt idx="27">
                  <c:v>-0.33573134767255369</c:v>
                </c:pt>
                <c:pt idx="28">
                  <c:v>-0.51537437375854911</c:v>
                </c:pt>
                <c:pt idx="29">
                  <c:v>-0.69854282744748741</c:v>
                </c:pt>
                <c:pt idx="30">
                  <c:v>-0.88167787843870904</c:v>
                </c:pt>
                <c:pt idx="31">
                  <c:v>-1.0610480141894671</c:v>
                </c:pt>
                <c:pt idx="32">
                  <c:v>-1.232821188441263</c:v>
                </c:pt>
                <c:pt idx="33">
                  <c:v>-1.3931410770783255</c:v>
                </c:pt>
                <c:pt idx="34">
                  <c:v>-1.5382059891922337</c:v>
                </c:pt>
                <c:pt idx="35">
                  <c:v>-1.6643489035165187</c:v>
                </c:pt>
                <c:pt idx="36">
                  <c:v>-1.7681170513116398</c:v>
                </c:pt>
                <c:pt idx="37">
                  <c:v>-1.8463494475923026</c:v>
                </c:pt>
                <c:pt idx="38">
                  <c:v>-1.8962507840137162</c:v>
                </c:pt>
                <c:pt idx="39">
                  <c:v>-1.9154601389209431</c:v>
                </c:pt>
                <c:pt idx="40">
                  <c:v>-1.9021130325903073</c:v>
                </c:pt>
                <c:pt idx="41">
                  <c:v>-1.8548954575553411</c:v>
                </c:pt>
                <c:pt idx="42">
                  <c:v>-1.7730886435542315</c:v>
                </c:pt>
                <c:pt idx="43">
                  <c:v>-1.6566034719679474</c:v>
                </c:pt>
                <c:pt idx="44">
                  <c:v>-1.5060036330431159</c:v>
                </c:pt>
                <c:pt idx="45">
                  <c:v>-1.3225168176580651</c:v>
                </c:pt>
                <c:pt idx="46">
                  <c:v>-1.1080334504339471</c:v>
                </c:pt>
                <c:pt idx="47">
                  <c:v>-0.86509269880899298</c:v>
                </c:pt>
                <c:pt idx="48">
                  <c:v>-0.59685572919565288</c:v>
                </c:pt>
                <c:pt idx="49">
                  <c:v>-0.30706642223254643</c:v>
                </c:pt>
                <c:pt idx="50">
                  <c:v>-6.1257422745431001E-16</c:v>
                </c:pt>
                <c:pt idx="51">
                  <c:v>0.31959974558897569</c:v>
                </c:pt>
                <c:pt idx="52">
                  <c:v>0.6465937066286227</c:v>
                </c:pt>
                <c:pt idx="53">
                  <c:v>0.9755300646143974</c:v>
                </c:pt>
                <c:pt idx="54">
                  <c:v>1.3007349200746303</c:v>
                </c:pt>
                <c:pt idx="55">
                  <c:v>1.6164094438043004</c:v>
                </c:pt>
                <c:pt idx="56">
                  <c:v>1.9167318966003284</c:v>
                </c:pt>
                <c:pt idx="57">
                  <c:v>2.1959627419109977</c:v>
                </c:pt>
                <c:pt idx="58">
                  <c:v>2.4485509839558444</c:v>
                </c:pt>
                <c:pt idx="59">
                  <c:v>2.6692398047747572</c:v>
                </c:pt>
                <c:pt idx="60">
                  <c:v>2.8531695488854596</c:v>
                </c:pt>
                <c:pt idx="61">
                  <c:v>2.9959761147225006</c:v>
                </c:pt>
                <c:pt idx="62">
                  <c:v>3.0938828581276421</c:v>
                </c:pt>
                <c:pt idx="63">
                  <c:v>3.1437841945490557</c:v>
                </c:pt>
                <c:pt idx="64">
                  <c:v>3.1433192023318037</c:v>
                </c:pt>
                <c:pt idx="65">
                  <c:v>3.0909336779592493</c:v>
                </c:pt>
                <c:pt idx="66">
                  <c:v>2.9859292731378639</c:v>
                </c:pt>
                <c:pt idx="67">
                  <c:v>2.8284985504317506</c:v>
                </c:pt>
                <c:pt idx="68">
                  <c:v>2.6197450254376813</c:v>
                </c:pt>
                <c:pt idx="69">
                  <c:v>2.3616875154539749</c:v>
                </c:pt>
                <c:pt idx="70">
                  <c:v>2.0572483830236568</c:v>
                </c:pt>
                <c:pt idx="71">
                  <c:v>1.7102255430610871</c:v>
                </c:pt>
                <c:pt idx="72">
                  <c:v>1.3252483896648408</c:v>
                </c:pt>
                <c:pt idx="73">
                  <c:v>0.90771808815172261</c:v>
                </c:pt>
                <c:pt idx="74">
                  <c:v>0.46373296418792442</c:v>
                </c:pt>
                <c:pt idx="75">
                  <c:v>1.3782920117721975E-15</c:v>
                </c:pt>
                <c:pt idx="76">
                  <c:v>-0.47626628754435213</c:v>
                </c:pt>
                <c:pt idx="77">
                  <c:v>-0.95745606558469087</c:v>
                </c:pt>
                <c:pt idx="78">
                  <c:v>-1.4356857554702414</c:v>
                </c:pt>
                <c:pt idx="79">
                  <c:v>-1.9029270127017766</c:v>
                </c:pt>
                <c:pt idx="80">
                  <c:v>-2.3511410091698912</c:v>
                </c:pt>
                <c:pt idx="81">
                  <c:v>-2.7724157790111854</c:v>
                </c:pt>
                <c:pt idx="82">
                  <c:v>-3.1591042953807311</c:v>
                </c:pt>
                <c:pt idx="83">
                  <c:v>-3.503960890833365</c:v>
                </c:pt>
                <c:pt idx="84">
                  <c:v>-3.8002736203572827</c:v>
                </c:pt>
                <c:pt idx="85">
                  <c:v>-4.0419901942544021</c:v>
                </c:pt>
                <c:pt idx="86">
                  <c:v>-4.2238351781333607</c:v>
                </c:pt>
                <c:pt idx="87">
                  <c:v>-4.3414162686629814</c:v>
                </c:pt>
                <c:pt idx="88">
                  <c:v>-4.3913176050843949</c:v>
                </c:pt>
                <c:pt idx="89">
                  <c:v>-4.3711782657426648</c:v>
                </c:pt>
                <c:pt idx="90">
                  <c:v>-4.2797543233281923</c:v>
                </c:pt>
                <c:pt idx="91">
                  <c:v>-4.1169630887203912</c:v>
                </c:pt>
                <c:pt idx="92">
                  <c:v>-3.8839084573092744</c:v>
                </c:pt>
                <c:pt idx="93">
                  <c:v>-3.5828865789074222</c:v>
                </c:pt>
                <c:pt idx="94">
                  <c:v>-3.2173713978648362</c:v>
                </c:pt>
                <c:pt idx="95">
                  <c:v>-2.7919799483892489</c:v>
                </c:pt>
                <c:pt idx="96">
                  <c:v>-2.3124176356882389</c:v>
                </c:pt>
                <c:pt idx="97">
                  <c:v>-1.785404080520689</c:v>
                </c:pt>
                <c:pt idx="98">
                  <c:v>-1.2185804471077926</c:v>
                </c:pt>
                <c:pt idx="99">
                  <c:v>-0.62039950614330486</c:v>
                </c:pt>
                <c:pt idx="100">
                  <c:v>-2.45029690981724E-15</c:v>
                </c:pt>
                <c:pt idx="101">
                  <c:v>0.6329328294997304</c:v>
                </c:pt>
                <c:pt idx="102">
                  <c:v>1.2683184245407588</c:v>
                </c:pt>
                <c:pt idx="103">
                  <c:v>1.8958414463260873</c:v>
                </c:pt>
                <c:pt idx="104">
                  <c:v>2.5051191053289203</c:v>
                </c:pt>
                <c:pt idx="105">
                  <c:v>3.0858725745354816</c:v>
                </c:pt>
                <c:pt idx="106">
                  <c:v>3.6280996614220524</c:v>
                </c:pt>
                <c:pt idx="107">
                  <c:v>4.1222458488504721</c:v>
                </c:pt>
                <c:pt idx="108">
                  <c:v>4.5593707977108791</c:v>
                </c:pt>
                <c:pt idx="109">
                  <c:v>4.9313074359398028</c:v>
                </c:pt>
                <c:pt idx="110">
                  <c:v>5.2308108396233441</c:v>
                </c:pt>
                <c:pt idx="111">
                  <c:v>5.4516942415442236</c:v>
                </c:pt>
                <c:pt idx="112">
                  <c:v>5.5889496791983211</c:v>
                </c:pt>
                <c:pt idx="113">
                  <c:v>5.6388510156197356</c:v>
                </c:pt>
                <c:pt idx="114">
                  <c:v>5.5990373291535276</c:v>
                </c:pt>
                <c:pt idx="115">
                  <c:v>5.4685749686971308</c:v>
                </c:pt>
                <c:pt idx="116">
                  <c:v>5.2479969043029131</c:v>
                </c:pt>
                <c:pt idx="117">
                  <c:v>4.9393183641867893</c:v>
                </c:pt>
                <c:pt idx="118">
                  <c:v>4.5460281323771605</c:v>
                </c:pt>
                <c:pt idx="119">
                  <c:v>4.073055280275705</c:v>
                </c:pt>
                <c:pt idx="120">
                  <c:v>3.5267115137548499</c:v>
                </c:pt>
                <c:pt idx="121">
                  <c:v>2.9146097283153756</c:v>
                </c:pt>
                <c:pt idx="122">
                  <c:v>2.2455597713765374</c:v>
                </c:pt>
                <c:pt idx="123">
                  <c:v>1.5294428060638627</c:v>
                </c:pt>
                <c:pt idx="124">
                  <c:v>0.77706604809869662</c:v>
                </c:pt>
                <c:pt idx="125">
                  <c:v>1.4930819167841003E-14</c:v>
                </c:pt>
                <c:pt idx="126">
                  <c:v>-0.78959937145511971</c:v>
                </c:pt>
                <c:pt idx="127">
                  <c:v>-1.5791807834968263</c:v>
                </c:pt>
                <c:pt idx="128">
                  <c:v>-2.3559971371819439</c:v>
                </c:pt>
                <c:pt idx="129">
                  <c:v>-3.1073111979560641</c:v>
                </c:pt>
                <c:pt idx="130">
                  <c:v>-3.8206041399010719</c:v>
                </c:pt>
                <c:pt idx="131">
                  <c:v>-4.4837835438329048</c:v>
                </c:pt>
                <c:pt idx="132">
                  <c:v>-5.0853874023202152</c:v>
                </c:pt>
                <c:pt idx="133">
                  <c:v>-5.6147807045884033</c:v>
                </c:pt>
                <c:pt idx="134">
                  <c:v>-6.0623412515223309</c:v>
                </c:pt>
                <c:pt idx="135">
                  <c:v>-6.4196314849922853</c:v>
                </c:pt>
                <c:pt idx="136">
                  <c:v>-6.6795533049550864</c:v>
                </c:pt>
                <c:pt idx="137">
                  <c:v>-6.8364830897336617</c:v>
                </c:pt>
                <c:pt idx="138">
                  <c:v>-6.8863844261550744</c:v>
                </c:pt>
                <c:pt idx="139">
                  <c:v>-6.8268963925643869</c:v>
                </c:pt>
                <c:pt idx="140">
                  <c:v>-6.6573956140660764</c:v>
                </c:pt>
                <c:pt idx="141">
                  <c:v>-6.379030719885443</c:v>
                </c:pt>
                <c:pt idx="142">
                  <c:v>-5.9947282710643019</c:v>
                </c:pt>
                <c:pt idx="143">
                  <c:v>-5.5091696858468904</c:v>
                </c:pt>
                <c:pt idx="144">
                  <c:v>-4.9287391626865578</c:v>
                </c:pt>
                <c:pt idx="145">
                  <c:v>-4.2614430791204345</c:v>
                </c:pt>
                <c:pt idx="146">
                  <c:v>-3.5168018209425309</c:v>
                </c:pt>
                <c:pt idx="147">
                  <c:v>-2.7057154622323734</c:v>
                </c:pt>
                <c:pt idx="148">
                  <c:v>-1.8403051650199205</c:v>
                </c:pt>
                <c:pt idx="149">
                  <c:v>-0.93373259005406672</c:v>
                </c:pt>
                <c:pt idx="150">
                  <c:v>-5.51316804708879E-15</c:v>
                </c:pt>
                <c:pt idx="151">
                  <c:v>0.94626591341048638</c:v>
                </c:pt>
                <c:pt idx="152">
                  <c:v>1.8900431424528805</c:v>
                </c:pt>
                <c:pt idx="153">
                  <c:v>2.8161528280377914</c:v>
                </c:pt>
                <c:pt idx="154">
                  <c:v>3.709503290583207</c:v>
                </c:pt>
                <c:pt idx="155">
                  <c:v>4.5553357052666614</c:v>
                </c:pt>
                <c:pt idx="156">
                  <c:v>5.3394674262437638</c:v>
                </c:pt>
                <c:pt idx="157">
                  <c:v>6.0485289557899344</c:v>
                </c:pt>
                <c:pt idx="158">
                  <c:v>6.6701906114659222</c:v>
                </c:pt>
                <c:pt idx="159">
                  <c:v>7.1933750671048546</c:v>
                </c:pt>
                <c:pt idx="160">
                  <c:v>7.6084521303612265</c:v>
                </c:pt>
                <c:pt idx="161">
                  <c:v>7.9074123683659421</c:v>
                </c:pt>
                <c:pt idx="162">
                  <c:v>8.0840165002689979</c:v>
                </c:pt>
                <c:pt idx="163">
                  <c:v>8.133917836690415</c:v>
                </c:pt>
                <c:pt idx="164">
                  <c:v>8.0547554559752541</c:v>
                </c:pt>
                <c:pt idx="165">
                  <c:v>7.8462162594350282</c:v>
                </c:pt>
                <c:pt idx="166">
                  <c:v>7.510064535467956</c:v>
                </c:pt>
                <c:pt idx="167">
                  <c:v>7.05013817794182</c:v>
                </c:pt>
                <c:pt idx="168">
                  <c:v>6.4723112393166264</c:v>
                </c:pt>
                <c:pt idx="169">
                  <c:v>5.7844230450974203</c:v>
                </c:pt>
                <c:pt idx="170">
                  <c:v>4.9961746444860271</c:v>
                </c:pt>
                <c:pt idx="171">
                  <c:v>4.1189939135696774</c:v>
                </c:pt>
                <c:pt idx="172">
                  <c:v>3.1658711530882484</c:v>
                </c:pt>
                <c:pt idx="173">
                  <c:v>2.1511675239760191</c:v>
                </c:pt>
                <c:pt idx="174">
                  <c:v>1.090399132009479</c:v>
                </c:pt>
                <c:pt idx="175">
                  <c:v>3.8590278975819681E-14</c:v>
                </c:pt>
                <c:pt idx="176">
                  <c:v>-1.1029324553658637</c:v>
                </c:pt>
                <c:pt idx="177">
                  <c:v>-2.2009055014089758</c:v>
                </c:pt>
                <c:pt idx="178">
                  <c:v>-3.2763085188936385</c:v>
                </c:pt>
                <c:pt idx="179">
                  <c:v>-4.3116953832103508</c:v>
                </c:pt>
                <c:pt idx="180">
                  <c:v>-5.2900672706322522</c:v>
                </c:pt>
                <c:pt idx="181">
                  <c:v>-6.1951513086546228</c:v>
                </c:pt>
                <c:pt idx="182">
                  <c:v>-7.0116705092596687</c:v>
                </c:pt>
                <c:pt idx="183">
                  <c:v>-7.7256005183434233</c:v>
                </c:pt>
                <c:pt idx="184">
                  <c:v>-8.324408882687365</c:v>
                </c:pt>
                <c:pt idx="185">
                  <c:v>-8.7972727757301676</c:v>
                </c:pt>
                <c:pt idx="186">
                  <c:v>-9.1352714317768022</c:v>
                </c:pt>
                <c:pt idx="187">
                  <c:v>-9.3315499108043394</c:v>
                </c:pt>
                <c:pt idx="188">
                  <c:v>-9.381451247225753</c:v>
                </c:pt>
                <c:pt idx="189">
                  <c:v>-9.2826145193861098</c:v>
                </c:pt>
                <c:pt idx="190">
                  <c:v>-9.0350369048039614</c:v>
                </c:pt>
                <c:pt idx="191">
                  <c:v>-8.6410983510504948</c:v>
                </c:pt>
                <c:pt idx="192">
                  <c:v>-8.1055480848193575</c:v>
                </c:pt>
                <c:pt idx="193">
                  <c:v>-7.4354527927863847</c:v>
                </c:pt>
                <c:pt idx="194">
                  <c:v>-6.640106927508282</c:v>
                </c:pt>
                <c:pt idx="195">
                  <c:v>-5.7309062098516206</c:v>
                </c:pt>
                <c:pt idx="196">
                  <c:v>-4.7211860061968247</c:v>
                </c:pt>
                <c:pt idx="197">
                  <c:v>-3.6260268439441004</c:v>
                </c:pt>
                <c:pt idx="198">
                  <c:v>-2.4620298829320584</c:v>
                </c:pt>
                <c:pt idx="199">
                  <c:v>-1.24706567396483</c:v>
                </c:pt>
                <c:pt idx="200">
                  <c:v>-9.8011876392689601E-15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E0-4A5B-A03A-D2798EF10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328392"/>
        <c:axId val="741334296"/>
      </c:scatterChart>
      <c:valAx>
        <c:axId val="7413283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41334296"/>
        <c:crosses val="autoZero"/>
        <c:crossBetween val="midCat"/>
      </c:valAx>
      <c:valAx>
        <c:axId val="7413342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41328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ベルヌーイ螺旋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'【解答】演習問題２（螺旋）'!$K$9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'【解答】演習問題２（螺旋）'!$J$10:$J$210</c:f>
              <c:numCache>
                <c:formatCode>General</c:formatCode>
                <c:ptCount val="201"/>
                <c:pt idx="0">
                  <c:v>1</c:v>
                </c:pt>
                <c:pt idx="1">
                  <c:v>1.012156747741275</c:v>
                </c:pt>
                <c:pt idx="2">
                  <c:v>1.0081117898040013</c:v>
                </c:pt>
                <c:pt idx="3">
                  <c:v>0.9872706528346612</c:v>
                </c:pt>
                <c:pt idx="4">
                  <c:v>0.94929169380869516</c:v>
                </c:pt>
                <c:pt idx="5">
                  <c:v>0.89410205441216184</c:v>
                </c:pt>
                <c:pt idx="6">
                  <c:v>0.82190983231778048</c:v>
                </c:pt>
                <c:pt idx="7">
                  <c:v>0.73321211417095566</c:v>
                </c:pt>
                <c:pt idx="8">
                  <c:v>0.62879856887655239</c:v>
                </c:pt>
                <c:pt idx="9">
                  <c:v>0.50975036071940871</c:v>
                </c:pt>
                <c:pt idx="10">
                  <c:v>0.37743420924792653</c:v>
                </c:pt>
                <c:pt idx="11">
                  <c:v>0.23349149585214538</c:v>
                </c:pt>
                <c:pt idx="12">
                  <c:v>7.9822394599879387E-2</c:v>
                </c:pt>
                <c:pt idx="13">
                  <c:v>-8.1434913934941261E-2</c:v>
                </c:pt>
                <c:pt idx="14">
                  <c:v>-0.24792980360335201</c:v>
                </c:pt>
                <c:pt idx="15">
                  <c:v>-0.41712931154768662</c:v>
                </c:pt>
                <c:pt idx="16">
                  <c:v>-0.58635248389355621</c:v>
                </c:pt>
                <c:pt idx="17">
                  <c:v>-0.75280856456515444</c:v>
                </c:pt>
                <c:pt idx="18">
                  <c:v>-0.91363855405320571</c:v>
                </c:pt>
                <c:pt idx="19">
                  <c:v>-1.0659595900593486</c:v>
                </c:pt>
                <c:pt idx="20">
                  <c:v>-1.206911533020055</c:v>
                </c:pt>
                <c:pt idx="21">
                  <c:v>-1.3337050779585589</c:v>
                </c:pt>
                <c:pt idx="22">
                  <c:v>-1.4436706612407912</c:v>
                </c:pt>
                <c:pt idx="23">
                  <c:v>-1.5343073878475828</c:v>
                </c:pt>
                <c:pt idx="24">
                  <c:v>-1.6033311728335757</c:v>
                </c:pt>
                <c:pt idx="25">
                  <c:v>-1.6487212707001282</c:v>
                </c:pt>
                <c:pt idx="26">
                  <c:v>-1.6687643592837038</c:v>
                </c:pt>
                <c:pt idx="27">
                  <c:v>-1.6620953510934338</c:v>
                </c:pt>
                <c:pt idx="28">
                  <c:v>-1.6277341252665078</c:v>
                </c:pt>
                <c:pt idx="29">
                  <c:v>-1.5651174076813485</c:v>
                </c:pt>
                <c:pt idx="30">
                  <c:v>-1.4741250752860149</c:v>
                </c:pt>
                <c:pt idx="31">
                  <c:v>-1.3551002231399008</c:v>
                </c:pt>
                <c:pt idx="32">
                  <c:v>-1.208862408568665</c:v>
                </c:pt>
                <c:pt idx="33">
                  <c:v>-1.0367135754925711</c:v>
                </c:pt>
                <c:pt idx="34">
                  <c:v>-0.84043626246515124</c:v>
                </c:pt>
                <c:pt idx="35">
                  <c:v>-0.6222838090769397</c:v>
                </c:pt>
                <c:pt idx="36">
                  <c:v>-0.38496239573902258</c:v>
                </c:pt>
                <c:pt idx="37">
                  <c:v>-0.13160487985503952</c:v>
                </c:pt>
                <c:pt idx="38">
                  <c:v>0.13426347478217071</c:v>
                </c:pt>
                <c:pt idx="39">
                  <c:v>0.40876714084135102</c:v>
                </c:pt>
                <c:pt idx="40">
                  <c:v>0.68772996858117175</c:v>
                </c:pt>
                <c:pt idx="41">
                  <c:v>0.96673181232315852</c:v>
                </c:pt>
                <c:pt idx="42">
                  <c:v>1.2411714931638005</c:v>
                </c:pt>
                <c:pt idx="43">
                  <c:v>1.506335317799228</c:v>
                </c:pt>
                <c:pt idx="44">
                  <c:v>1.7574702498376367</c:v>
                </c:pt>
                <c:pt idx="45">
                  <c:v>1.9898607163434652</c:v>
                </c:pt>
                <c:pt idx="46">
                  <c:v>2.198907930871048</c:v>
                </c:pt>
                <c:pt idx="47">
                  <c:v>2.380210527073412</c:v>
                </c:pt>
                <c:pt idx="48">
                  <c:v>2.5296452261366609</c:v>
                </c:pt>
                <c:pt idx="49">
                  <c:v>2.6434462086272994</c:v>
                </c:pt>
                <c:pt idx="50">
                  <c:v>2.7182818284590451</c:v>
                </c:pt>
                <c:pt idx="51">
                  <c:v>2.7513272949373131</c:v>
                </c:pt>
                <c:pt idx="52">
                  <c:v>2.7403319592795414</c:v>
                </c:pt>
                <c:pt idx="53">
                  <c:v>2.6836798753713582</c:v>
                </c:pt>
                <c:pt idx="54">
                  <c:v>2.5804423611872847</c:v>
                </c:pt>
                <c:pt idx="55">
                  <c:v>2.4304213672964803</c:v>
                </c:pt>
                <c:pt idx="56">
                  <c:v>2.2341825618212439</c:v>
                </c:pt>
                <c:pt idx="57">
                  <c:v>1.9930771663569495</c:v>
                </c:pt>
                <c:pt idx="58">
                  <c:v>1.7092517235381852</c:v>
                </c:pt>
                <c:pt idx="59">
                  <c:v>1.3856451425940133</c:v>
                </c:pt>
                <c:pt idx="60">
                  <c:v>1.0259725524374512</c:v>
                </c:pt>
                <c:pt idx="61">
                  <c:v>0.63469569027460737</c:v>
                </c:pt>
                <c:pt idx="62">
                  <c:v>0.21697976474494191</c:v>
                </c:pt>
                <c:pt idx="63">
                  <c:v>-0.22136304675147783</c:v>
                </c:pt>
                <c:pt idx="64">
                  <c:v>-0.67394307986841329</c:v>
                </c:pt>
                <c:pt idx="65">
                  <c:v>-1.1338750276977083</c:v>
                </c:pt>
                <c:pt idx="66">
                  <c:v>-1.5938713020396811</c:v>
                </c:pt>
                <c:pt idx="67">
                  <c:v>-2.0463458413657967</c:v>
                </c:pt>
                <c:pt idx="68">
                  <c:v>-2.4835270792624295</c:v>
                </c:pt>
                <c:pt idx="69">
                  <c:v>-2.8975785835299828</c:v>
                </c:pt>
                <c:pt idx="70">
                  <c:v>-3.280725688766065</c:v>
                </c:pt>
                <c:pt idx="71">
                  <c:v>-3.6253862779383059</c:v>
                </c:pt>
                <c:pt idx="72">
                  <c:v>-3.9243037247302968</c:v>
                </c:pt>
                <c:pt idx="73">
                  <c:v>-4.1706798916565484</c:v>
                </c:pt>
                <c:pt idx="74">
                  <c:v>-4.3583059921154383</c:v>
                </c:pt>
                <c:pt idx="75">
                  <c:v>-4.4816890703380645</c:v>
                </c:pt>
                <c:pt idx="76">
                  <c:v>-4.536171833820994</c:v>
                </c:pt>
                <c:pt idx="77">
                  <c:v>-4.5180435900435363</c:v>
                </c:pt>
                <c:pt idx="78">
                  <c:v>-4.4246400942746282</c:v>
                </c:pt>
                <c:pt idx="79">
                  <c:v>-4.2544302087051378</c:v>
                </c:pt>
                <c:pt idx="80">
                  <c:v>-4.0070874050257963</c:v>
                </c:pt>
                <c:pt idx="81">
                  <c:v>-3.6835443123019926</c:v>
                </c:pt>
                <c:pt idx="82">
                  <c:v>-3.2860287183194448</c:v>
                </c:pt>
                <c:pt idx="83">
                  <c:v>-2.8180796735782576</c:v>
                </c:pt>
                <c:pt idx="84">
                  <c:v>-2.2845426202370582</c:v>
                </c:pt>
                <c:pt idx="85">
                  <c:v>-1.6915427703581245</c:v>
                </c:pt>
                <c:pt idx="86">
                  <c:v>-1.0464362849774511</c:v>
                </c:pt>
                <c:pt idx="87">
                  <c:v>-0.35773915344650126</c:v>
                </c:pt>
                <c:pt idx="88">
                  <c:v>0.36496596372614259</c:v>
                </c:pt>
                <c:pt idx="89">
                  <c:v>1.1111442910202076</c:v>
                </c:pt>
                <c:pt idx="90">
                  <c:v>1.8694438764809078</c:v>
                </c:pt>
                <c:pt idx="91">
                  <c:v>2.6278495184313204</c:v>
                </c:pt>
                <c:pt idx="92">
                  <c:v>3.3738539158685281</c:v>
                </c:pt>
                <c:pt idx="93">
                  <c:v>4.0946439219397215</c:v>
                </c:pt>
                <c:pt idx="94">
                  <c:v>4.777299444191029</c:v>
                </c:pt>
                <c:pt idx="95">
                  <c:v>5.409002226400939</c:v>
                </c:pt>
                <c:pt idx="96">
                  <c:v>5.9772514709412468</c:v>
                </c:pt>
                <c:pt idx="97">
                  <c:v>6.4700830236505809</c:v>
                </c:pt>
                <c:pt idx="98">
                  <c:v>6.8762886506554572</c:v>
                </c:pt>
                <c:pt idx="99">
                  <c:v>7.1856317934205478</c:v>
                </c:pt>
                <c:pt idx="100">
                  <c:v>7.3890560989306504</c:v>
                </c:pt>
                <c:pt idx="101">
                  <c:v>7.4788829899714804</c:v>
                </c:pt>
                <c:pt idx="102">
                  <c:v>7.4489945688551495</c:v>
                </c:pt>
                <c:pt idx="103">
                  <c:v>7.2949982386232</c:v>
                </c:pt>
                <c:pt idx="104">
                  <c:v>7.0143695798013459</c:v>
                </c:pt>
                <c:pt idx="105">
                  <c:v>6.6065702382206108</c:v>
                </c:pt>
                <c:pt idx="106">
                  <c:v>6.073137859258761</c:v>
                </c:pt>
                <c:pt idx="107">
                  <c:v>5.4177454440247379</c:v>
                </c:pt>
                <c:pt idx="108">
                  <c:v>4.6462279003561608</c:v>
                </c:pt>
                <c:pt idx="109">
                  <c:v>3.7665740118058588</c:v>
                </c:pt>
                <c:pt idx="110">
                  <c:v>2.7888825457884634</c:v>
                </c:pt>
                <c:pt idx="111">
                  <c:v>1.72528176147473</c:v>
                </c:pt>
                <c:pt idx="112">
                  <c:v>0.5898121516494883</c:v>
                </c:pt>
                <c:pt idx="113">
                  <c:v>-0.60172714747686151</c:v>
                </c:pt>
                <c:pt idx="114">
                  <c:v>-1.8319672274220118</c:v>
                </c:pt>
                <c:pt idx="115">
                  <c:v>-3.0821918835341919</c:v>
                </c:pt>
                <c:pt idx="116">
                  <c:v>-4.3325913972368202</c:v>
                </c:pt>
                <c:pt idx="117">
                  <c:v>-5.5625447153273768</c:v>
                </c:pt>
                <c:pt idx="118">
                  <c:v>-6.7509265300450121</c:v>
                </c:pt>
                <c:pt idx="119">
                  <c:v>-7.8764352101416355</c:v>
                </c:pt>
                <c:pt idx="120">
                  <c:v>-8.9179370239315645</c:v>
                </c:pt>
                <c:pt idx="121">
                  <c:v>-9.8548216404644702</c:v>
                </c:pt>
                <c:pt idx="122">
                  <c:v>-10.667363504288513</c:v>
                </c:pt>
                <c:pt idx="123">
                  <c:v>-11.337083361809533</c:v>
                </c:pt>
                <c:pt idx="124">
                  <c:v>-11.847103981231562</c:v>
                </c:pt>
                <c:pt idx="125">
                  <c:v>-12.182493960703473</c:v>
                </c:pt>
                <c:pt idx="126">
                  <c:v>-12.33059346664335</c:v>
                </c:pt>
                <c:pt idx="127">
                  <c:v>-12.281315791001216</c:v>
                </c:pt>
                <c:pt idx="128">
                  <c:v>-12.027418765738032</c:v>
                </c:pt>
                <c:pt idx="129">
                  <c:v>-11.5647403267704</c:v>
                </c:pt>
                <c:pt idx="130">
                  <c:v>-10.892392878128733</c:v>
                </c:pt>
                <c:pt idx="131">
                  <c:v>-10.012911568454179</c:v>
                </c:pt>
                <c:pt idx="132">
                  <c:v>-8.9323521528022773</c:v>
                </c:pt>
                <c:pt idx="133">
                  <c:v>-7.6603347678375791</c:v>
                </c:pt>
                <c:pt idx="134">
                  <c:v>-6.2100306909306138</c:v>
                </c:pt>
                <c:pt idx="135">
                  <c:v>-4.5980899747257657</c:v>
                </c:pt>
                <c:pt idx="136">
                  <c:v>-2.8445087380943477</c:v>
                </c:pt>
                <c:pt idx="137">
                  <c:v>-0.97243584014189544</c:v>
                </c:pt>
                <c:pt idx="138">
                  <c:v>0.99208034720284077</c:v>
                </c:pt>
                <c:pt idx="139">
                  <c:v>3.020403335076236</c:v>
                </c:pt>
                <c:pt idx="140">
                  <c:v>5.0816753187620858</c:v>
                </c:pt>
                <c:pt idx="141">
                  <c:v>7.1432355938767067</c:v>
                </c:pt>
                <c:pt idx="142">
                  <c:v>9.171085791380861</c:v>
                </c:pt>
                <c:pt idx="143">
                  <c:v>11.130396167019043</c:v>
                </c:pt>
                <c:pt idx="144">
                  <c:v>12.986046268251968</c:v>
                </c:pt>
                <c:pt idx="145">
                  <c:v>14.703192462120185</c:v>
                </c:pt>
                <c:pt idx="146">
                  <c:v>16.247854057589688</c:v>
                </c:pt>
                <c:pt idx="147">
                  <c:v>17.587509111810739</c:v>
                </c:pt>
                <c:pt idx="148">
                  <c:v>18.691690486315903</c:v>
                </c:pt>
                <c:pt idx="149">
                  <c:v>19.532572330052655</c:v>
                </c:pt>
                <c:pt idx="150">
                  <c:v>20.085536923187668</c:v>
                </c:pt>
                <c:pt idx="151">
                  <c:v>20.329711728810928</c:v>
                </c:pt>
                <c:pt idx="152">
                  <c:v>20.248466576809086</c:v>
                </c:pt>
                <c:pt idx="153">
                  <c:v>19.829861150690174</c:v>
                </c:pt>
                <c:pt idx="154">
                  <c:v>19.067033366869911</c:v>
                </c:pt>
                <c:pt idx="155">
                  <c:v>17.958519826993435</c:v>
                </c:pt>
                <c:pt idx="156">
                  <c:v>16.508500284549786</c:v>
                </c:pt>
                <c:pt idx="157">
                  <c:v>14.726958991709262</c:v>
                </c:pt>
                <c:pt idx="158">
                  <c:v>12.629756872417547</c:v>
                </c:pt>
                <c:pt idx="159">
                  <c:v>10.238609691837917</c:v>
                </c:pt>
                <c:pt idx="160">
                  <c:v>7.5809687459233865</c:v>
                </c:pt>
                <c:pt idx="161">
                  <c:v>4.6898020611886215</c:v>
                </c:pt>
                <c:pt idx="162">
                  <c:v>1.6032756540331861</c:v>
                </c:pt>
                <c:pt idx="163">
                  <c:v>-1.6356639706767961</c:v>
                </c:pt>
                <c:pt idx="164">
                  <c:v>-4.9798032246337005</c:v>
                </c:pt>
                <c:pt idx="165">
                  <c:v>-8.3782661888348091</c:v>
                </c:pt>
                <c:pt idx="166">
                  <c:v>-11.777204465246877</c:v>
                </c:pt>
                <c:pt idx="167">
                  <c:v>-15.12056421966534</c:v>
                </c:pt>
                <c:pt idx="168">
                  <c:v>-18.350920911883467</c:v>
                </c:pt>
                <c:pt idx="169">
                  <c:v>-21.410370704763039</c:v>
                </c:pt>
                <c:pt idx="170">
                  <c:v>-24.241466159495335</c:v>
                </c:pt>
                <c:pt idx="171">
                  <c:v>-26.788182587979499</c:v>
                </c:pt>
                <c:pt idx="172">
                  <c:v>-28.996900371274641</c:v>
                </c:pt>
                <c:pt idx="173">
                  <c:v>-30.817387690132225</c:v>
                </c:pt>
                <c:pt idx="174">
                  <c:v>-32.203767472046557</c:v>
                </c:pt>
                <c:pt idx="175">
                  <c:v>-33.115451958692312</c:v>
                </c:pt>
                <c:pt idx="176">
                  <c:v>-33.518028154492455</c:v>
                </c:pt>
                <c:pt idx="177">
                  <c:v>-33.38407754424572</c:v>
                </c:pt>
                <c:pt idx="178">
                  <c:v>-32.693913874173013</c:v>
                </c:pt>
                <c:pt idx="179">
                  <c:v>-31.436223481107504</c:v>
                </c:pt>
                <c:pt idx="180">
                  <c:v>-29.608593629054059</c:v>
                </c:pt>
                <c:pt idx="181">
                  <c:v>-27.217915566496359</c:v>
                </c:pt>
                <c:pt idx="182">
                  <c:v>-24.280650542359577</c:v>
                </c:pt>
                <c:pt idx="183">
                  <c:v>-20.822948799326056</c:v>
                </c:pt>
                <c:pt idx="184">
                  <c:v>-16.880613581329794</c:v>
                </c:pt>
                <c:pt idx="185">
                  <c:v>-12.498904423916768</c:v>
                </c:pt>
                <c:pt idx="186">
                  <c:v>-7.7321764136549875</c:v>
                </c:pt>
                <c:pt idx="187">
                  <c:v>-2.64335467360003</c:v>
                </c:pt>
                <c:pt idx="188">
                  <c:v>2.6967539801728115</c:v>
                </c:pt>
                <c:pt idx="189">
                  <c:v>8.2103075003548192</c:v>
                </c:pt>
                <c:pt idx="190">
                  <c:v>13.813425677119794</c:v>
                </c:pt>
                <c:pt idx="191">
                  <c:v>19.417327511236902</c:v>
                </c:pt>
                <c:pt idx="192">
                  <c:v>24.929595853949383</c:v>
                </c:pt>
                <c:pt idx="193">
                  <c:v>30.255553644357924</c:v>
                </c:pt>
                <c:pt idx="194">
                  <c:v>35.299733594517711</c:v>
                </c:pt>
                <c:pt idx="195">
                  <c:v>39.967420890117296</c:v>
                </c:pt>
                <c:pt idx="196">
                  <c:v>44.166246436200609</c:v>
                </c:pt>
                <c:pt idx="197">
                  <c:v>47.807806426492945</c:v>
                </c:pt>
                <c:pt idx="198">
                  <c:v>50.809282592133329</c:v>
                </c:pt>
                <c:pt idx="199">
                  <c:v>53.095036427844072</c:v>
                </c:pt>
                <c:pt idx="200">
                  <c:v>54.598150033144236</c:v>
                </c:pt>
              </c:numCache>
            </c:numRef>
          </c:xVal>
          <c:yVal>
            <c:numRef>
              <c:f>'【解答】演習問題２（螺旋）'!$K$10:$K$210</c:f>
              <c:numCache>
                <c:formatCode>General</c:formatCode>
                <c:ptCount val="201"/>
                <c:pt idx="0">
                  <c:v>0</c:v>
                </c:pt>
                <c:pt idx="1">
                  <c:v>0.12786513283218956</c:v>
                </c:pt>
                <c:pt idx="2">
                  <c:v>0.25883911399387016</c:v>
                </c:pt>
                <c:pt idx="3">
                  <c:v>0.39088810372125371</c:v>
                </c:pt>
                <c:pt idx="4">
                  <c:v>0.52187752495928486</c:v>
                </c:pt>
                <c:pt idx="5">
                  <c:v>0.64960316690739872</c:v>
                </c:pt>
                <c:pt idx="6">
                  <c:v>0.7718247066923698</c:v>
                </c:pt>
                <c:pt idx="7">
                  <c:v>0.88630119483750824</c:v>
                </c:pt>
                <c:pt idx="8">
                  <c:v>0.99082799925857801</c:v>
                </c:pt>
                <c:pt idx="9">
                  <c:v>1.0832746578346477</c:v>
                </c:pt>
                <c:pt idx="10">
                  <c:v>1.1616230521691031</c:v>
                </c:pt>
                <c:pt idx="11">
                  <c:v>1.2240052858856711</c:v>
                </c:pt>
                <c:pt idx="12">
                  <c:v>1.2687406305124915</c:v>
                </c:pt>
                <c:pt idx="13">
                  <c:v>1.294370891395235</c:v>
                </c:pt>
                <c:pt idx="14">
                  <c:v>1.2996935457181067</c:v>
                </c:pt>
                <c:pt idx="15">
                  <c:v>1.2837920150235638</c:v>
                </c:pt>
                <c:pt idx="16">
                  <c:v>1.2460624558732232</c:v>
                </c:pt>
                <c:pt idx="17">
                  <c:v>1.1862364845796134</c:v>
                </c:pt>
                <c:pt idx="18">
                  <c:v>1.1043992951788113</c:v>
                </c:pt>
                <c:pt idx="19">
                  <c:v>1.0010026837413193</c:v>
                </c:pt>
                <c:pt idx="20">
                  <c:v>0.87687255627921668</c:v>
                </c:pt>
                <c:pt idx="21">
                  <c:v>0.73321057126083877</c:v>
                </c:pt>
                <c:pt idx="22">
                  <c:v>0.57158965026475639</c:v>
                </c:pt>
                <c:pt idx="23">
                  <c:v>0.39394318058906025</c:v>
                </c:pt>
                <c:pt idx="24">
                  <c:v>0.20254783050733574</c:v>
                </c:pt>
                <c:pt idx="25">
                  <c:v>2.0199283173732387E-16</c:v>
                </c:pt>
                <c:pt idx="26">
                  <c:v>-0.21081396428132831</c:v>
                </c:pt>
                <c:pt idx="27">
                  <c:v>-0.42675355293086864</c:v>
                </c:pt>
                <c:pt idx="28">
                  <c:v>-0.64446553106886895</c:v>
                </c:pt>
                <c:pt idx="29">
                  <c:v>-0.86043057610071005</c:v>
                </c:pt>
                <c:pt idx="30">
                  <c:v>-1.0710145587943929</c:v>
                </c:pt>
                <c:pt idx="31">
                  <c:v>-1.2725238111755972</c:v>
                </c:pt>
                <c:pt idx="32">
                  <c:v>-1.4612636321755386</c:v>
                </c:pt>
                <c:pt idx="33">
                  <c:v>-1.6335991979828688</c:v>
                </c:pt>
                <c:pt idx="34">
                  <c:v>-1.7860179703823875</c:v>
                </c:pt>
                <c:pt idx="35">
                  <c:v>-1.9151926346468049</c:v>
                </c:pt>
                <c:pt idx="36">
                  <c:v>-2.0180435502890974</c:v>
                </c:pt>
                <c:pt idx="37">
                  <c:v>-2.0917996645274366</c:v>
                </c:pt>
                <c:pt idx="38">
                  <c:v>-2.134056820818409</c:v>
                </c:pt>
                <c:pt idx="39">
                  <c:v>-2.1428323942171121</c:v>
                </c:pt>
                <c:pt idx="40">
                  <c:v>-2.1166152023243283</c:v>
                </c:pt>
                <c:pt idx="41">
                  <c:v>-2.054409675619024</c:v>
                </c:pt>
                <c:pt idx="42">
                  <c:v>-1.955773324206953</c:v>
                </c:pt>
                <c:pt idx="43">
                  <c:v>-1.8208466093075364</c:v>
                </c:pt>
                <c:pt idx="44">
                  <c:v>-1.6503744167122267</c:v>
                </c:pt>
                <c:pt idx="45">
                  <c:v>-1.4457184352307402</c:v>
                </c:pt>
                <c:pt idx="46">
                  <c:v>-1.2088598647399393</c:v>
                </c:pt>
                <c:pt idx="47">
                  <c:v>-0.94239201450355037</c:v>
                </c:pt>
                <c:pt idx="48">
                  <c:v>-0.64950250128444587</c:v>
                </c:pt>
                <c:pt idx="49">
                  <c:v>-0.33394491649160901</c:v>
                </c:pt>
                <c:pt idx="50">
                  <c:v>-6.6605975642855548E-16</c:v>
                </c:pt>
                <c:pt idx="51">
                  <c:v>0.3475734670712427</c:v>
                </c:pt>
                <c:pt idx="52">
                  <c:v>0.70359766006397706</c:v>
                </c:pt>
                <c:pt idx="53">
                  <c:v>1.0625440293062993</c:v>
                </c:pt>
                <c:pt idx="54">
                  <c:v>1.4186101927780046</c:v>
                </c:pt>
                <c:pt idx="55">
                  <c:v>1.7658044843138296</c:v>
                </c:pt>
                <c:pt idx="56">
                  <c:v>2.0980370749576016</c:v>
                </c:pt>
                <c:pt idx="57">
                  <c:v>2.4092164324683365</c:v>
                </c:pt>
                <c:pt idx="58">
                  <c:v>2.6933497455130251</c:v>
                </c:pt>
                <c:pt idx="59">
                  <c:v>2.9446458176221122</c:v>
                </c:pt>
                <c:pt idx="60">
                  <c:v>3.157618834230405</c:v>
                </c:pt>
                <c:pt idx="61">
                  <c:v>3.3271913265608384</c:v>
                </c:pt>
                <c:pt idx="62">
                  <c:v>3.4487946009497774</c:v>
                </c:pt>
                <c:pt idx="63">
                  <c:v>3.5184648733660038</c:v>
                </c:pt>
                <c:pt idx="64">
                  <c:v>3.532933347891035</c:v>
                </c:pt>
                <c:pt idx="65">
                  <c:v>3.4897085059593751</c:v>
                </c:pt>
                <c:pt idx="66">
                  <c:v>3.3871489309252327</c:v>
                </c:pt>
                <c:pt idx="67">
                  <c:v>3.2245250802879024</c:v>
                </c:pt>
                <c:pt idx="68">
                  <c:v>3.0020685354475378</c:v>
                </c:pt>
                <c:pt idx="69">
                  <c:v>2.7210074054527635</c:v>
                </c:pt>
                <c:pt idx="70">
                  <c:v>2.383586735608227</c:v>
                </c:pt>
                <c:pt idx="71">
                  <c:v>1.9930729722924114</c:v>
                </c:pt>
                <c:pt idx="72">
                  <c:v>1.5537417596499472</c:v>
                </c:pt>
                <c:pt idx="73">
                  <c:v>1.0708485892406037</c:v>
                </c:pt>
                <c:pt idx="74">
                  <c:v>0.5505820870618906</c:v>
                </c:pt>
                <c:pt idx="75">
                  <c:v>1.6472203319716587E-15</c:v>
                </c:pt>
                <c:pt idx="76">
                  <c:v>-0.57305176829134385</c:v>
                </c:pt>
                <c:pt idx="77">
                  <c:v>-1.1600364281623163</c:v>
                </c:pt>
                <c:pt idx="78">
                  <c:v>-1.7518389421727114</c:v>
                </c:pt>
                <c:pt idx="79">
                  <c:v>-2.3388927996651088</c:v>
                </c:pt>
                <c:pt idx="80">
                  <c:v>-2.9113194131858808</c:v>
                </c:pt>
                <c:pt idx="81">
                  <c:v>-3.4590783522000725</c:v>
                </c:pt>
                <c:pt idx="82">
                  <c:v>-3.9721263779308225</c:v>
                </c:pt>
                <c:pt idx="83">
                  <c:v>-4.4405830148621046</c:v>
                </c:pt>
                <c:pt idx="84">
                  <c:v>-4.8549001941917478</c:v>
                </c:pt>
                <c:pt idx="85">
                  <c:v>-5.2060333367590124</c:v>
                </c:pt>
                <c:pt idx="86">
                  <c:v>-5.4856111117898294</c:v>
                </c:pt>
                <c:pt idx="87">
                  <c:v>-5.6861010168616577</c:v>
                </c:pt>
                <c:pt idx="88">
                  <c:v>-5.8009678769297626</c:v>
                </c:pt>
                <c:pt idx="89">
                  <c:v>-5.8248223586337646</c:v>
                </c:pt>
                <c:pt idx="90">
                  <c:v>-5.7535566423183875</c:v>
                </c:pt>
                <c:pt idx="91">
                  <c:v>-5.5844644894456357</c:v>
                </c:pt>
                <c:pt idx="92">
                  <c:v>-5.3163430877767093</c:v>
                </c:pt>
                <c:pt idx="93">
                  <c:v>-4.9495742504919447</c:v>
                </c:pt>
                <c:pt idx="94">
                  <c:v>-4.4861827871025399</c:v>
                </c:pt>
                <c:pt idx="95">
                  <c:v>-3.9298701515559671</c:v>
                </c:pt>
                <c:pt idx="96">
                  <c:v>-3.2860218034760376</c:v>
                </c:pt>
                <c:pt idx="97">
                  <c:v>-2.5616870883099154</c:v>
                </c:pt>
                <c:pt idx="98">
                  <c:v>-1.7655308467802084</c:v>
                </c:pt>
                <c:pt idx="99">
                  <c:v>-0.90775639820540954</c:v>
                </c:pt>
                <c:pt idx="100">
                  <c:v>-3.6210762651352004E-15</c:v>
                </c:pt>
                <c:pt idx="101">
                  <c:v>0.94480263959425892</c:v>
                </c:pt>
                <c:pt idx="102">
                  <c:v>1.9125767338982114</c:v>
                </c:pt>
                <c:pt idx="103">
                  <c:v>2.8882941268009601</c:v>
                </c:pt>
                <c:pt idx="104">
                  <c:v>3.8561823086952374</c:v>
                </c:pt>
                <c:pt idx="105">
                  <c:v>4.7999542423217765</c:v>
                </c:pt>
                <c:pt idx="106">
                  <c:v>5.7030560562906194</c:v>
                </c:pt>
                <c:pt idx="107">
                  <c:v>6.5489292492036117</c:v>
                </c:pt>
                <c:pt idx="108">
                  <c:v>7.3212836709128464</c:v>
                </c:pt>
                <c:pt idx="109">
                  <c:v>8.0043772172901111</c:v>
                </c:pt>
                <c:pt idx="110">
                  <c:v>8.5832978982885475</c:v>
                </c:pt>
                <c:pt idx="111">
                  <c:v>9.0442437227968746</c:v>
                </c:pt>
                <c:pt idx="112">
                  <c:v>9.3747956938494461</c:v>
                </c:pt>
                <c:pt idx="113">
                  <c:v>9.564179129342266</c:v>
                </c:pt>
                <c:pt idx="114">
                  <c:v>9.6035085207291839</c:v>
                </c:pt>
                <c:pt idx="115">
                  <c:v>9.4860112183683309</c:v>
                </c:pt>
                <c:pt idx="116">
                  <c:v>9.2072253892185412</c:v>
                </c:pt>
                <c:pt idx="117">
                  <c:v>8.7651679311570483</c:v>
                </c:pt>
                <c:pt idx="118">
                  <c:v>8.1604683476957121</c:v>
                </c:pt>
                <c:pt idx="119">
                  <c:v>7.396464985344755</c:v>
                </c:pt>
                <c:pt idx="120">
                  <c:v>6.4792605099598752</c:v>
                </c:pt>
                <c:pt idx="121">
                  <c:v>5.4177340433753223</c:v>
                </c:pt>
                <c:pt idx="122">
                  <c:v>4.2235079913744356</c:v>
                </c:pt>
                <c:pt idx="123">
                  <c:v>2.9108682611637398</c:v>
                </c:pt>
                <c:pt idx="124">
                  <c:v>1.4966372823354168</c:v>
                </c:pt>
                <c:pt idx="125">
                  <c:v>2.9103138294492587E-14</c:v>
                </c:pt>
                <c:pt idx="126">
                  <c:v>-1.5577162085127025</c:v>
                </c:pt>
                <c:pt idx="127">
                  <c:v>-3.1533059430241583</c:v>
                </c:pt>
                <c:pt idx="128">
                  <c:v>-4.7619919628950163</c:v>
                </c:pt>
                <c:pt idx="129">
                  <c:v>-6.3577697960433639</c:v>
                </c:pt>
                <c:pt idx="130">
                  <c:v>-7.9137866577032279</c:v>
                </c:pt>
                <c:pt idx="131">
                  <c:v>-9.4027498280015127</c:v>
                </c:pt>
                <c:pt idx="132">
                  <c:v>-10.79735895347223</c:v>
                </c:pt>
                <c:pt idx="133">
                  <c:v>-12.07075611706354</c:v>
                </c:pt>
                <c:pt idx="134">
                  <c:v>-13.19698697685372</c:v>
                </c:pt>
                <c:pt idx="135">
                  <c:v>-14.151465817664034</c:v>
                </c:pt>
                <c:pt idx="136">
                  <c:v>-14.911437003171327</c:v>
                </c:pt>
                <c:pt idx="137">
                  <c:v>-15.45642506891755</c:v>
                </c:pt>
                <c:pt idx="138">
                  <c:v>-15.768665567332825</c:v>
                </c:pt>
                <c:pt idx="139">
                  <c:v>-15.833508771476124</c:v>
                </c:pt>
                <c:pt idx="140">
                  <c:v>-15.639788469823914</c:v>
                </c:pt>
                <c:pt idx="141">
                  <c:v>-15.180148343334888</c:v>
                </c:pt>
                <c:pt idx="142">
                  <c:v>-14.451318809357247</c:v>
                </c:pt>
                <c:pt idx="143">
                  <c:v>-13.454337743721034</c:v>
                </c:pt>
                <c:pt idx="144">
                  <c:v>-12.194709149326588</c:v>
                </c:pt>
                <c:pt idx="145">
                  <c:v>-10.682494621178181</c:v>
                </c:pt>
                <c:pt idx="146">
                  <c:v>-8.9323333563091367</c:v>
                </c:pt>
                <c:pt idx="147">
                  <c:v>-6.9633874623509762</c:v>
                </c:pt>
                <c:pt idx="148">
                  <c:v>-4.7992104183865223</c:v>
                </c:pt>
                <c:pt idx="149">
                  <c:v>-2.4675377219092027</c:v>
                </c:pt>
                <c:pt idx="150">
                  <c:v>-1.4764658716472046E-14</c:v>
                </c:pt>
                <c:pt idx="151">
                  <c:v>2.56823984668921</c:v>
                </c:pt>
                <c:pt idx="152">
                  <c:v>5.1989225812890183</c:v>
                </c:pt>
                <c:pt idx="153">
                  <c:v>7.8511974401280664</c:v>
                </c:pt>
                <c:pt idx="154">
                  <c:v>10.482190296951508</c:v>
                </c:pt>
                <c:pt idx="155">
                  <c:v>13.047628394338185</c:v>
                </c:pt>
                <c:pt idx="156">
                  <c:v>15.502513644498062</c:v>
                </c:pt>
                <c:pt idx="157">
                  <c:v>17.801835373974086</c:v>
                </c:pt>
                <c:pt idx="158">
                  <c:v>19.90131236363634</c:v>
                </c:pt>
                <c:pt idx="159">
                  <c:v>21.758153137891302</c:v>
                </c:pt>
                <c:pt idx="160">
                  <c:v>23.33182270516847</c:v>
                </c:pt>
                <c:pt idx="161">
                  <c:v>24.584803363833526</c:v>
                </c:pt>
                <c:pt idx="162">
                  <c:v>25.483336780107052</c:v>
                </c:pt>
                <c:pt idx="163">
                  <c:v>25.998134331418335</c:v>
                </c:pt>
                <c:pt idx="164">
                  <c:v>26.105042701349756</c:v>
                </c:pt>
                <c:pt idx="165">
                  <c:v>25.785651919449325</c:v>
                </c:pt>
                <c:pt idx="166">
                  <c:v>25.02783346603951</c:v>
                </c:pt>
                <c:pt idx="167">
                  <c:v>23.826196710656145</c:v>
                </c:pt>
                <c:pt idx="168">
                  <c:v>22.182452821256437</c:v>
                </c:pt>
                <c:pt idx="169">
                  <c:v>20.105676364496212</c:v>
                </c:pt>
                <c:pt idx="170">
                  <c:v>17.612456106076177</c:v>
                </c:pt>
                <c:pt idx="171">
                  <c:v>14.726928001531144</c:v>
                </c:pt>
                <c:pt idx="172">
                  <c:v>11.48068502530475</c:v>
                </c:pt>
                <c:pt idx="173">
                  <c:v>7.9125602993596349</c:v>
                </c:pt>
                <c:pt idx="174">
                  <c:v>4.0682819283667593</c:v>
                </c:pt>
                <c:pt idx="175">
                  <c:v>1.4604966051386178E-13</c:v>
                </c:pt>
                <c:pt idx="176">
                  <c:v>-4.2343116634961318</c:v>
                </c:pt>
                <c:pt idx="177">
                  <c:v>-8.5715742444945349</c:v>
                </c:pt>
                <c:pt idx="178">
                  <c:v>-12.944436220005535</c:v>
                </c:pt>
                <c:pt idx="179">
                  <c:v>-17.282210106110441</c:v>
                </c:pt>
                <c:pt idx="180">
                  <c:v>-21.511902465936323</c:v>
                </c:pt>
                <c:pt idx="181">
                  <c:v>-25.55932399500292</c:v>
                </c:pt>
                <c:pt idx="182">
                  <c:v>-29.350264638573044</c:v>
                </c:pt>
                <c:pt idx="183">
                  <c:v>-32.8117170087746</c:v>
                </c:pt>
                <c:pt idx="184">
                  <c:v>-35.873129889592072</c:v>
                </c:pt>
                <c:pt idx="185">
                  <c:v>-38.467672378215468</c:v>
                </c:pt>
                <c:pt idx="186">
                  <c:v>-40.533488241932389</c:v>
                </c:pt>
                <c:pt idx="187">
                  <c:v>-42.014919397777419</c:v>
                </c:pt>
                <c:pt idx="188">
                  <c:v>-42.863677070728656</c:v>
                </c:pt>
                <c:pt idx="189">
                  <c:v>-43.039939174250449</c:v>
                </c:pt>
                <c:pt idx="190">
                  <c:v>-42.513352798465647</c:v>
                </c:pt>
                <c:pt idx="191">
                  <c:v>-41.263921394999926</c:v>
                </c:pt>
                <c:pt idx="192">
                  <c:v>-39.282757316744302</c:v>
                </c:pt>
                <c:pt idx="193">
                  <c:v>-36.572681802707663</c:v>
                </c:pt>
                <c:pt idx="194">
                  <c:v>-33.148656283957735</c:v>
                </c:pt>
                <c:pt idx="195">
                  <c:v>-29.03803101136015</c:v>
                </c:pt>
                <c:pt idx="196">
                  <c:v>-24.280599448193733</c:v>
                </c:pt>
                <c:pt idx="197">
                  <c:v>-18.928449603428387</c:v>
                </c:pt>
                <c:pt idx="198">
                  <c:v>-13.045606471251428</c:v>
                </c:pt>
                <c:pt idx="199">
                  <c:v>-6.7074629505030279</c:v>
                </c:pt>
                <c:pt idx="200">
                  <c:v>-5.3512671323180544E-14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20-4047-951B-67893DCF4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615600"/>
        <c:axId val="784615928"/>
      </c:scatterChart>
      <c:valAx>
        <c:axId val="784615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84615928"/>
        <c:crosses val="autoZero"/>
        <c:crossBetween val="midCat"/>
      </c:valAx>
      <c:valAx>
        <c:axId val="784615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8461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エピサイクロイド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'【解答】演習問題3（エピ・ハイポサイクロイド）'!$D$10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'【解答】演習問題3（エピ・ハイポサイクロイド）'!$C$11:$C$111</c:f>
              <c:numCache>
                <c:formatCode>General</c:formatCode>
                <c:ptCount val="101"/>
                <c:pt idx="0">
                  <c:v>3</c:v>
                </c:pt>
                <c:pt idx="1">
                  <c:v>3.0235237525844552</c:v>
                </c:pt>
                <c:pt idx="2">
                  <c:v>3.092152125214048</c:v>
                </c:pt>
                <c:pt idx="3">
                  <c:v>3.2001803754933436</c:v>
                </c:pt>
                <c:pt idx="4">
                  <c:v>3.3385058495355278</c:v>
                </c:pt>
                <c:pt idx="5">
                  <c:v>3.4952090708056667</c:v>
                </c:pt>
                <c:pt idx="6">
                  <c:v>3.6563154240236924</c:v>
                </c:pt>
                <c:pt idx="7">
                  <c:v>3.8066895244498031</c:v>
                </c:pt>
                <c:pt idx="8">
                  <c:v>3.9310060117405272</c:v>
                </c:pt>
                <c:pt idx="9">
                  <c:v>4.0147356917567496</c:v>
                </c:pt>
                <c:pt idx="10">
                  <c:v>4.0450849718747373</c:v>
                </c:pt>
                <c:pt idx="11">
                  <c:v>4.0118294569914088</c:v>
                </c:pt>
                <c:pt idx="12">
                  <c:v>3.9079892110001238</c:v>
                </c:pt>
                <c:pt idx="13">
                  <c:v>3.7303031250292324</c:v>
                </c:pt>
                <c:pt idx="14">
                  <c:v>3.4794724448830103</c:v>
                </c:pt>
                <c:pt idx="15">
                  <c:v>3.1601580035448409</c:v>
                </c:pt>
                <c:pt idx="16">
                  <c:v>2.7807311696646755</c:v>
                </c:pt>
                <c:pt idx="17">
                  <c:v>2.3527939879719328</c:v>
                </c:pt>
                <c:pt idx="18">
                  <c:v>1.8904984808460152</c:v>
                </c:pt>
                <c:pt idx="19">
                  <c:v>1.4097076912093995</c:v>
                </c:pt>
                <c:pt idx="20">
                  <c:v>0.92705098312484258</c:v>
                </c:pt>
                <c:pt idx="21">
                  <c:v>0.45893275368042219</c:v>
                </c:pt>
                <c:pt idx="22">
                  <c:v>2.055663092148774E-2</c:v>
                </c:pt>
                <c:pt idx="23">
                  <c:v>-0.37497374578664522</c:v>
                </c:pt>
                <c:pt idx="24">
                  <c:v>-0.71742108301137686</c:v>
                </c:pt>
                <c:pt idx="25">
                  <c:v>-0.99999999999999978</c:v>
                </c:pt>
                <c:pt idx="26">
                  <c:v>-1.2197452392458847</c:v>
                </c:pt>
                <c:pt idx="27">
                  <c:v>-1.3776396143010805</c:v>
                </c:pt>
                <c:pt idx="28">
                  <c:v>-1.47849388576431</c:v>
                </c:pt>
                <c:pt idx="29">
                  <c:v>-1.5305863436384159</c:v>
                </c:pt>
                <c:pt idx="30">
                  <c:v>-1.545084971874737</c:v>
                </c:pt>
                <c:pt idx="31">
                  <c:v>-1.5352887302680251</c:v>
                </c:pt>
                <c:pt idx="32">
                  <c:v>-1.5157358516745658</c:v>
                </c:pt>
                <c:pt idx="33">
                  <c:v>-1.5012354048417884</c:v>
                </c:pt>
                <c:pt idx="34">
                  <c:v>-1.5058831901672969</c:v>
                </c:pt>
                <c:pt idx="35">
                  <c:v>-1.5421240147949449</c:v>
                </c:pt>
                <c:pt idx="36">
                  <c:v>-1.6199194731065076</c:v>
                </c:pt>
                <c:pt idx="37">
                  <c:v>-1.7460737224002769</c:v>
                </c:pt>
                <c:pt idx="38">
                  <c:v>-1.9237598083711673</c:v>
                </c:pt>
                <c:pt idx="39">
                  <c:v>-2.1522764852149048</c:v>
                </c:pt>
                <c:pt idx="40">
                  <c:v>-2.4270509831248415</c:v>
                </c:pt>
                <c:pt idx="41">
                  <c:v>-2.7398877122593683</c:v>
                </c:pt>
                <c:pt idx="42">
                  <c:v>-3.0794474286103819</c:v>
                </c:pt>
                <c:pt idx="43">
                  <c:v>-3.4319268952783517</c:v>
                </c:pt>
                <c:pt idx="44">
                  <c:v>-3.781896463082318</c:v>
                </c:pt>
                <c:pt idx="45">
                  <c:v>-4.1132430595555611</c:v>
                </c:pt>
                <c:pt idx="46">
                  <c:v>-4.4101594394935191</c:v>
                </c:pt>
                <c:pt idx="47">
                  <c:v>-4.6581176303361662</c:v>
                </c:pt>
                <c:pt idx="48">
                  <c:v>-4.8447654853017745</c:v>
                </c:pt>
                <c:pt idx="49">
                  <c:v>-4.9606900748417173</c:v>
                </c:pt>
                <c:pt idx="50">
                  <c:v>-5</c:v>
                </c:pt>
                <c:pt idx="51">
                  <c:v>-4.9606900748417173</c:v>
                </c:pt>
                <c:pt idx="52">
                  <c:v>-4.8447654853017745</c:v>
                </c:pt>
                <c:pt idx="53">
                  <c:v>-4.6581176303361653</c:v>
                </c:pt>
                <c:pt idx="54">
                  <c:v>-4.4101594394935217</c:v>
                </c:pt>
                <c:pt idx="55">
                  <c:v>-4.1132430595555629</c:v>
                </c:pt>
                <c:pt idx="56">
                  <c:v>-3.7818964630823193</c:v>
                </c:pt>
                <c:pt idx="57">
                  <c:v>-3.4319268952783557</c:v>
                </c:pt>
                <c:pt idx="58">
                  <c:v>-3.079447428610381</c:v>
                </c:pt>
                <c:pt idx="59">
                  <c:v>-2.7398877122593719</c:v>
                </c:pt>
                <c:pt idx="60">
                  <c:v>-2.427050983124845</c:v>
                </c:pt>
                <c:pt idx="61">
                  <c:v>-2.1522764852149057</c:v>
                </c:pt>
                <c:pt idx="62">
                  <c:v>-1.9237598083711696</c:v>
                </c:pt>
                <c:pt idx="63">
                  <c:v>-1.7460737224002767</c:v>
                </c:pt>
                <c:pt idx="64">
                  <c:v>-1.619919473106507</c:v>
                </c:pt>
                <c:pt idx="65">
                  <c:v>-1.5421240147949451</c:v>
                </c:pt>
                <c:pt idx="66">
                  <c:v>-1.5058831901672969</c:v>
                </c:pt>
                <c:pt idx="67">
                  <c:v>-1.5012354048417884</c:v>
                </c:pt>
                <c:pt idx="68">
                  <c:v>-1.5157358516745663</c:v>
                </c:pt>
                <c:pt idx="69">
                  <c:v>-1.5352887302680254</c:v>
                </c:pt>
                <c:pt idx="70">
                  <c:v>-1.545084971874737</c:v>
                </c:pt>
                <c:pt idx="71">
                  <c:v>-1.5305863436384155</c:v>
                </c:pt>
                <c:pt idx="72">
                  <c:v>-1.4784938857643102</c:v>
                </c:pt>
                <c:pt idx="73">
                  <c:v>-1.3776396143010814</c:v>
                </c:pt>
                <c:pt idx="74">
                  <c:v>-1.2197452392458841</c:v>
                </c:pt>
                <c:pt idx="75">
                  <c:v>-1.0000000000000007</c:v>
                </c:pt>
                <c:pt idx="76">
                  <c:v>-0.7174210830113803</c:v>
                </c:pt>
                <c:pt idx="77">
                  <c:v>-0.37497374578664666</c:v>
                </c:pt>
                <c:pt idx="78">
                  <c:v>2.055663092148452E-2</c:v>
                </c:pt>
                <c:pt idx="79">
                  <c:v>0.45893275368042363</c:v>
                </c:pt>
                <c:pt idx="80">
                  <c:v>0.9270509831248408</c:v>
                </c:pt>
                <c:pt idx="81">
                  <c:v>1.4097076912093942</c:v>
                </c:pt>
                <c:pt idx="82">
                  <c:v>1.8904984808460084</c:v>
                </c:pt>
                <c:pt idx="83">
                  <c:v>2.3527939879719373</c:v>
                </c:pt>
                <c:pt idx="84">
                  <c:v>2.7807311696646773</c:v>
                </c:pt>
                <c:pt idx="85">
                  <c:v>3.1601580035448387</c:v>
                </c:pt>
                <c:pt idx="86">
                  <c:v>3.4794724448830077</c:v>
                </c:pt>
                <c:pt idx="87">
                  <c:v>3.7303031250292289</c:v>
                </c:pt>
                <c:pt idx="88">
                  <c:v>3.9079892110001229</c:v>
                </c:pt>
                <c:pt idx="89">
                  <c:v>4.0118294569914088</c:v>
                </c:pt>
                <c:pt idx="90">
                  <c:v>4.0450849718747373</c:v>
                </c:pt>
                <c:pt idx="91">
                  <c:v>4.0147356917567505</c:v>
                </c:pt>
                <c:pt idx="92">
                  <c:v>3.9310060117405285</c:v>
                </c:pt>
                <c:pt idx="93">
                  <c:v>3.8066895244498036</c:v>
                </c:pt>
                <c:pt idx="94">
                  <c:v>3.6563154240236919</c:v>
                </c:pt>
                <c:pt idx="95">
                  <c:v>3.4952090708056676</c:v>
                </c:pt>
                <c:pt idx="96">
                  <c:v>3.3385058495355291</c:v>
                </c:pt>
                <c:pt idx="97">
                  <c:v>3.2001803754933436</c:v>
                </c:pt>
                <c:pt idx="98">
                  <c:v>3.0921521252140485</c:v>
                </c:pt>
                <c:pt idx="99">
                  <c:v>3.0235237525844552</c:v>
                </c:pt>
                <c:pt idx="100">
                  <c:v>3</c:v>
                </c:pt>
              </c:numCache>
            </c:numRef>
          </c:xVal>
          <c:yVal>
            <c:numRef>
              <c:f>'【解答】演習問題3（エピ・ハイポサイクロイド）'!$D$11:$D$111</c:f>
              <c:numCache>
                <c:formatCode>General</c:formatCode>
                <c:ptCount val="101"/>
                <c:pt idx="0">
                  <c:v>0</c:v>
                </c:pt>
                <c:pt idx="1">
                  <c:v>2.4721909523987007E-3</c:v>
                </c:pt>
                <c:pt idx="2">
                  <c:v>1.957926015550171E-2</c:v>
                </c:pt>
                <c:pt idx="3">
                  <c:v>6.4978152414209789E-2</c:v>
                </c:pt>
                <c:pt idx="4">
                  <c:v>0.1504316231574041</c:v>
                </c:pt>
                <c:pt idx="5">
                  <c:v>0.28501146120463605</c:v>
                </c:pt>
                <c:pt idx="6">
                  <c:v>0.47447148231044012</c:v>
                </c:pt>
                <c:pt idx="7">
                  <c:v>0.72082991553160192</c:v>
                </c:pt>
                <c:pt idx="8">
                  <c:v>1.0221876439408417</c:v>
                </c:pt>
                <c:pt idx="9">
                  <c:v>1.3727939371401974</c:v>
                </c:pt>
                <c:pt idx="10">
                  <c:v>1.7633557568774192</c:v>
                </c:pt>
                <c:pt idx="11">
                  <c:v>2.1815714063100806</c:v>
                </c:pt>
                <c:pt idx="12">
                  <c:v>2.6128551901504498</c:v>
                </c:pt>
                <c:pt idx="13">
                  <c:v>3.0412077432499505</c:v>
                </c:pt>
                <c:pt idx="14">
                  <c:v>3.4501775237878349</c:v>
                </c:pt>
                <c:pt idx="15">
                  <c:v>3.8238532297922623</c:v>
                </c:pt>
                <c:pt idx="16">
                  <c:v>4.1478249447838493</c:v>
                </c:pt>
                <c:pt idx="17">
                  <c:v>4.4100537726414748</c:v>
                </c:pt>
                <c:pt idx="18">
                  <c:v>4.6015954605927671</c:v>
                </c:pt>
                <c:pt idx="19">
                  <c:v>4.7171326719812772</c:v>
                </c:pt>
                <c:pt idx="20">
                  <c:v>4.7552825814757682</c:v>
                </c:pt>
                <c:pt idx="21">
                  <c:v>4.7186605700165396</c:v>
                </c:pt>
                <c:pt idx="22">
                  <c:v>4.6136961088434436</c:v>
                </c:pt>
                <c:pt idx="23">
                  <c:v>4.4502124793596272</c:v>
                </c:pt>
                <c:pt idx="24">
                  <c:v>4.2407968008779413</c:v>
                </c:pt>
                <c:pt idx="25">
                  <c:v>4</c:v>
                </c:pt>
                <c:pt idx="26">
                  <c:v>3.7434170265482312</c:v>
                </c:pt>
                <c:pt idx="27">
                  <c:v>3.4867051311561967</c:v>
                </c:pt>
                <c:pt idx="28">
                  <c:v>3.2446018969860662</c:v>
                </c:pt>
                <c:pt idx="29">
                  <c:v>3.030004719012509</c:v>
                </c:pt>
                <c:pt idx="30">
                  <c:v>2.8531695488854614</c:v>
                </c:pt>
                <c:pt idx="31">
                  <c:v>2.7210792151247345</c:v>
                </c:pt>
                <c:pt idx="32">
                  <c:v>2.6370209591353895</c:v>
                </c:pt>
                <c:pt idx="33">
                  <c:v>2.6003996677094348</c:v>
                </c:pt>
                <c:pt idx="34">
                  <c:v>2.6067984592322713</c:v>
                </c:pt>
                <c:pt idx="35">
                  <c:v>2.6482827252073164</c:v>
                </c:pt>
                <c:pt idx="36">
                  <c:v>2.7139284184184791</c:v>
                </c:pt>
                <c:pt idx="37">
                  <c:v>2.790541276121342</c:v>
                </c:pt>
                <c:pt idx="38">
                  <c:v>2.8635216572790587</c:v>
                </c:pt>
                <c:pt idx="39">
                  <c:v>2.9178205116794365</c:v>
                </c:pt>
                <c:pt idx="40">
                  <c:v>2.9389262614623659</c:v>
                </c:pt>
                <c:pt idx="41">
                  <c:v>2.9138204226917761</c:v>
                </c:pt>
                <c:pt idx="42">
                  <c:v>2.8318417488728804</c:v>
                </c:pt>
                <c:pt idx="43">
                  <c:v>2.6854044169889799</c:v>
                </c:pt>
                <c:pt idx="44">
                  <c:v>2.4705249391669843</c:v>
                </c:pt>
                <c:pt idx="45">
                  <c:v>2.1871244937949439</c:v>
                </c:pt>
                <c:pt idx="46">
                  <c:v>1.8390874741614369</c:v>
                </c:pt>
                <c:pt idx="47">
                  <c:v>1.4340723642715867</c:v>
                </c:pt>
                <c:pt idx="48">
                  <c:v>0.98308660835893447</c:v>
                </c:pt>
                <c:pt idx="49">
                  <c:v>0.49985196528210996</c:v>
                </c:pt>
                <c:pt idx="50">
                  <c:v>9.8011876392689601E-16</c:v>
                </c:pt>
                <c:pt idx="51">
                  <c:v>-0.49985196528210807</c:v>
                </c:pt>
                <c:pt idx="52">
                  <c:v>-0.98308660835893258</c:v>
                </c:pt>
                <c:pt idx="53">
                  <c:v>-1.434072364271588</c:v>
                </c:pt>
                <c:pt idx="54">
                  <c:v>-1.8390874741614329</c:v>
                </c:pt>
                <c:pt idx="55">
                  <c:v>-2.1871244937949426</c:v>
                </c:pt>
                <c:pt idx="56">
                  <c:v>-2.4705249391669835</c:v>
                </c:pt>
                <c:pt idx="57">
                  <c:v>-2.6854044169889781</c:v>
                </c:pt>
                <c:pt idx="58">
                  <c:v>-2.8318417488728809</c:v>
                </c:pt>
                <c:pt idx="59">
                  <c:v>-2.9138204226917757</c:v>
                </c:pt>
                <c:pt idx="60">
                  <c:v>-2.9389262614623659</c:v>
                </c:pt>
                <c:pt idx="61">
                  <c:v>-2.9178205116794369</c:v>
                </c:pt>
                <c:pt idx="62">
                  <c:v>-2.8635216572790596</c:v>
                </c:pt>
                <c:pt idx="63">
                  <c:v>-2.7905412761213415</c:v>
                </c:pt>
                <c:pt idx="64">
                  <c:v>-2.7139284184184786</c:v>
                </c:pt>
                <c:pt idx="65">
                  <c:v>-2.6482827252073169</c:v>
                </c:pt>
                <c:pt idx="66">
                  <c:v>-2.6067984592322713</c:v>
                </c:pt>
                <c:pt idx="67">
                  <c:v>-2.6003996677094348</c:v>
                </c:pt>
                <c:pt idx="68">
                  <c:v>-2.6370209591353904</c:v>
                </c:pt>
                <c:pt idx="69">
                  <c:v>-2.7210792151247345</c:v>
                </c:pt>
                <c:pt idx="70">
                  <c:v>-2.8531695488854605</c:v>
                </c:pt>
                <c:pt idx="71">
                  <c:v>-3.0300047190125103</c:v>
                </c:pt>
                <c:pt idx="72">
                  <c:v>-3.2446018969860662</c:v>
                </c:pt>
                <c:pt idx="73">
                  <c:v>-3.4867051311561945</c:v>
                </c:pt>
                <c:pt idx="74">
                  <c:v>-3.7434170265482321</c:v>
                </c:pt>
                <c:pt idx="75">
                  <c:v>-3.9999999999999991</c:v>
                </c:pt>
                <c:pt idx="76">
                  <c:v>-4.2407968008779386</c:v>
                </c:pt>
                <c:pt idx="77">
                  <c:v>-4.4502124793596263</c:v>
                </c:pt>
                <c:pt idx="78">
                  <c:v>-4.6136961088434427</c:v>
                </c:pt>
                <c:pt idx="79">
                  <c:v>-4.7186605700165396</c:v>
                </c:pt>
                <c:pt idx="80">
                  <c:v>-4.7552825814757682</c:v>
                </c:pt>
                <c:pt idx="81">
                  <c:v>-4.7171326719812781</c:v>
                </c:pt>
                <c:pt idx="82">
                  <c:v>-4.6015954605927689</c:v>
                </c:pt>
                <c:pt idx="83">
                  <c:v>-4.4100537726414721</c:v>
                </c:pt>
                <c:pt idx="84">
                  <c:v>-4.1478249447838484</c:v>
                </c:pt>
                <c:pt idx="85">
                  <c:v>-3.8238532297922641</c:v>
                </c:pt>
                <c:pt idx="86">
                  <c:v>-3.4501775237878385</c:v>
                </c:pt>
                <c:pt idx="87">
                  <c:v>-3.0412077432499562</c:v>
                </c:pt>
                <c:pt idx="88">
                  <c:v>-2.6128551901504533</c:v>
                </c:pt>
                <c:pt idx="89">
                  <c:v>-2.1815714063100802</c:v>
                </c:pt>
                <c:pt idx="90">
                  <c:v>-1.763355756877421</c:v>
                </c:pt>
                <c:pt idx="91">
                  <c:v>-1.3727939371402007</c:v>
                </c:pt>
                <c:pt idx="92">
                  <c:v>-1.0221876439408466</c:v>
                </c:pt>
                <c:pt idx="93">
                  <c:v>-0.72082991553160358</c:v>
                </c:pt>
                <c:pt idx="94">
                  <c:v>-0.4744714823104399</c:v>
                </c:pt>
                <c:pt idx="95">
                  <c:v>-0.28501146120463661</c:v>
                </c:pt>
                <c:pt idx="96">
                  <c:v>-0.1504316231574051</c:v>
                </c:pt>
                <c:pt idx="97">
                  <c:v>-6.49781524142099E-2</c:v>
                </c:pt>
                <c:pt idx="98">
                  <c:v>-1.9579260155501821E-2</c:v>
                </c:pt>
                <c:pt idx="99">
                  <c:v>-2.4721909523987007E-3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2C-4574-A2BD-2CDD7BF2F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608056"/>
        <c:axId val="784607072"/>
      </c:scatterChart>
      <c:valAx>
        <c:axId val="7846080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84607072"/>
        <c:crosses val="autoZero"/>
        <c:crossBetween val="midCat"/>
      </c:valAx>
      <c:valAx>
        <c:axId val="784607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84608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ハイポサイクロイド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'【解答】演習問題3（エピ・ハイポサイクロイド）'!$F$10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'【解答】演習問題3（エピ・ハイポサイクロイド）'!$E$11:$E$111</c:f>
              <c:numCache>
                <c:formatCode>General</c:formatCode>
                <c:ptCount val="101"/>
                <c:pt idx="0">
                  <c:v>3</c:v>
                </c:pt>
                <c:pt idx="1">
                  <c:v>2.9881681581710211</c:v>
                </c:pt>
                <c:pt idx="2">
                  <c:v>2.952812563757587</c:v>
                </c:pt>
                <c:pt idx="3">
                  <c:v>2.894350987345629</c:v>
                </c:pt>
                <c:pt idx="4">
                  <c:v>2.8134730023011256</c:v>
                </c:pt>
                <c:pt idx="5">
                  <c:v>2.7111300269652547</c:v>
                </c:pt>
                <c:pt idx="6">
                  <c:v>2.5885215991979145</c:v>
                </c:pt>
                <c:pt idx="7">
                  <c:v>2.4470780946807289</c:v>
                </c:pt>
                <c:pt idx="8">
                  <c:v>2.2884401550667235</c:v>
                </c:pt>
                <c:pt idx="9">
                  <c:v>2.1144351425691026</c:v>
                </c:pt>
                <c:pt idx="10">
                  <c:v>1.9270509831248424</c:v>
                </c:pt>
                <c:pt idx="11">
                  <c:v>1.7284078001373033</c:v>
                </c:pt>
                <c:pt idx="12">
                  <c:v>1.5207277743721366</c:v>
                </c:pt>
                <c:pt idx="13">
                  <c:v>1.3063036923280638</c:v>
                </c:pt>
                <c:pt idx="14">
                  <c:v>1.0874666649116549</c:v>
                </c:pt>
                <c:pt idx="15">
                  <c:v>0.86655351020999938</c:v>
                </c:pt>
                <c:pt idx="16">
                  <c:v>0.64587429839292043</c:v>
                </c:pt>
                <c:pt idx="17">
                  <c:v>0.42768055322443344</c:v>
                </c:pt>
                <c:pt idx="18">
                  <c:v>0.21413459338145557</c:v>
                </c:pt>
                <c:pt idx="19">
                  <c:v>7.2804779479448412E-3</c:v>
                </c:pt>
                <c:pt idx="20">
                  <c:v>-0.19098300562505244</c:v>
                </c:pt>
                <c:pt idx="21">
                  <c:v>-0.37892690571415411</c:v>
                </c:pt>
                <c:pt idx="22">
                  <c:v>-0.55501385671680192</c:v>
                </c:pt>
                <c:pt idx="23">
                  <c:v>-0.717916694000022</c:v>
                </c:pt>
                <c:pt idx="24">
                  <c:v>-0.86653366225585071</c:v>
                </c:pt>
                <c:pt idx="25">
                  <c:v>-0.99999999999999989</c:v>
                </c:pt>
                <c:pt idx="26">
                  <c:v>-1.1176957403731047</c:v>
                </c:pt>
                <c:pt idx="27">
                  <c:v>-1.2192496282572396</c:v>
                </c:pt>
                <c:pt idx="28">
                  <c:v>-1.3045391150597005</c:v>
                </c:pt>
                <c:pt idx="29">
                  <c:v>-1.3736864543735732</c:v>
                </c:pt>
                <c:pt idx="30">
                  <c:v>-1.4270509831248419</c:v>
                </c:pt>
                <c:pt idx="31">
                  <c:v>-1.4652177327907672</c:v>
                </c:pt>
                <c:pt idx="32">
                  <c:v>-1.4889825728788351</c:v>
                </c:pt>
                <c:pt idx="33">
                  <c:v>-1.4993341431824272</c:v>
                </c:pt>
                <c:pt idx="34">
                  <c:v>-1.497432881523066</c:v>
                </c:pt>
                <c:pt idx="35">
                  <c:v>-1.4845874989598937</c:v>
                </c:pt>
                <c:pt idx="36">
                  <c:v>-1.4622292940831041</c:v>
                </c:pt>
                <c:pt idx="37">
                  <c:v>-1.4318847313866907</c:v>
                </c:pt>
                <c:pt idx="38">
                  <c:v>-1.3951467353135099</c:v>
                </c:pt>
                <c:pt idx="39">
                  <c:v>-1.3536451709658541</c:v>
                </c:pt>
                <c:pt idx="40">
                  <c:v>-1.3090169943749475</c:v>
                </c:pt>
                <c:pt idx="41">
                  <c:v>-1.2628765594389579</c:v>
                </c:pt>
                <c:pt idx="42">
                  <c:v>-1.2167865651087304</c:v>
                </c:pt>
                <c:pt idx="43">
                  <c:v>-1.1722301151833494</c:v>
                </c:pt>
                <c:pt idx="44">
                  <c:v>-1.1305843443550914</c:v>
                </c:pt>
                <c:pt idx="45">
                  <c:v>-1.0930960382153598</c:v>
                </c:pt>
                <c:pt idx="46">
                  <c:v>-1.0608596422133987</c:v>
                </c:pt>
                <c:pt idx="47">
                  <c:v>-1.0347980155691259</c:v>
                </c:pt>
                <c:pt idx="48">
                  <c:v>-1.0156462415003245</c:v>
                </c:pt>
                <c:pt idx="49">
                  <c:v>-1.0039387555420654</c:v>
                </c:pt>
                <c:pt idx="50">
                  <c:v>-1</c:v>
                </c:pt>
                <c:pt idx="51">
                  <c:v>-1.0039387555420651</c:v>
                </c:pt>
                <c:pt idx="52">
                  <c:v>-1.0156462415003247</c:v>
                </c:pt>
                <c:pt idx="53">
                  <c:v>-1.0347980155691259</c:v>
                </c:pt>
                <c:pt idx="54">
                  <c:v>-1.0608596422133987</c:v>
                </c:pt>
                <c:pt idx="55">
                  <c:v>-1.0930960382153598</c:v>
                </c:pt>
                <c:pt idx="56">
                  <c:v>-1.1305843443550914</c:v>
                </c:pt>
                <c:pt idx="57">
                  <c:v>-1.172230115183349</c:v>
                </c:pt>
                <c:pt idx="58">
                  <c:v>-1.2167865651087304</c:v>
                </c:pt>
                <c:pt idx="59">
                  <c:v>-1.2628765594389573</c:v>
                </c:pt>
                <c:pt idx="60">
                  <c:v>-1.309016994374947</c:v>
                </c:pt>
                <c:pt idx="61">
                  <c:v>-1.3536451709658537</c:v>
                </c:pt>
                <c:pt idx="62">
                  <c:v>-1.3951467353135094</c:v>
                </c:pt>
                <c:pt idx="63">
                  <c:v>-1.4318847313866909</c:v>
                </c:pt>
                <c:pt idx="64">
                  <c:v>-1.4622292940831041</c:v>
                </c:pt>
                <c:pt idx="65">
                  <c:v>-1.4845874989598937</c:v>
                </c:pt>
                <c:pt idx="66">
                  <c:v>-1.497432881523066</c:v>
                </c:pt>
                <c:pt idx="67">
                  <c:v>-1.4993341431824272</c:v>
                </c:pt>
                <c:pt idx="68">
                  <c:v>-1.4889825728788348</c:v>
                </c:pt>
                <c:pt idx="69">
                  <c:v>-1.4652177327907674</c:v>
                </c:pt>
                <c:pt idx="70">
                  <c:v>-1.4270509831248424</c:v>
                </c:pt>
                <c:pt idx="71">
                  <c:v>-1.3736864543735727</c:v>
                </c:pt>
                <c:pt idx="72">
                  <c:v>-1.3045391150597008</c:v>
                </c:pt>
                <c:pt idx="73">
                  <c:v>-1.21924962825724</c:v>
                </c:pt>
                <c:pt idx="74">
                  <c:v>-1.1176957403731043</c:v>
                </c:pt>
                <c:pt idx="75">
                  <c:v>-1.0000000000000004</c:v>
                </c:pt>
                <c:pt idx="76">
                  <c:v>-0.86653366225585238</c:v>
                </c:pt>
                <c:pt idx="77">
                  <c:v>-0.71791669400002256</c:v>
                </c:pt>
                <c:pt idx="78">
                  <c:v>-0.55501385671680314</c:v>
                </c:pt>
                <c:pt idx="79">
                  <c:v>-0.37892690571415361</c:v>
                </c:pt>
                <c:pt idx="80">
                  <c:v>-0.19098300562505321</c:v>
                </c:pt>
                <c:pt idx="81">
                  <c:v>7.2804779479425097E-3</c:v>
                </c:pt>
                <c:pt idx="82">
                  <c:v>0.21413459338145258</c:v>
                </c:pt>
                <c:pt idx="83">
                  <c:v>0.42768055322443566</c:v>
                </c:pt>
                <c:pt idx="84">
                  <c:v>0.6458742983929211</c:v>
                </c:pt>
                <c:pt idx="85">
                  <c:v>0.86655351020999793</c:v>
                </c:pt>
                <c:pt idx="86">
                  <c:v>1.0874666649116529</c:v>
                </c:pt>
                <c:pt idx="87">
                  <c:v>1.3063036923280607</c:v>
                </c:pt>
                <c:pt idx="88">
                  <c:v>1.520727774372135</c:v>
                </c:pt>
                <c:pt idx="89">
                  <c:v>1.7284078001373036</c:v>
                </c:pt>
                <c:pt idx="90">
                  <c:v>1.9270509831248417</c:v>
                </c:pt>
                <c:pt idx="91">
                  <c:v>2.1144351425691013</c:v>
                </c:pt>
                <c:pt idx="92">
                  <c:v>2.2884401550667213</c:v>
                </c:pt>
                <c:pt idx="93">
                  <c:v>2.4470780946807276</c:v>
                </c:pt>
                <c:pt idx="94">
                  <c:v>2.5885215991979145</c:v>
                </c:pt>
                <c:pt idx="95">
                  <c:v>2.7111300269652543</c:v>
                </c:pt>
                <c:pt idx="96">
                  <c:v>2.8134730023011247</c:v>
                </c:pt>
                <c:pt idx="97">
                  <c:v>2.8943509873456286</c:v>
                </c:pt>
                <c:pt idx="98">
                  <c:v>2.9528125637575866</c:v>
                </c:pt>
                <c:pt idx="99">
                  <c:v>2.9881681581710211</c:v>
                </c:pt>
                <c:pt idx="100">
                  <c:v>3</c:v>
                </c:pt>
              </c:numCache>
            </c:numRef>
          </c:xVal>
          <c:yVal>
            <c:numRef>
              <c:f>'【解答】演習問題3（エピ・ハイポサイクロイド）'!$F$11:$F$111</c:f>
              <c:numCache>
                <c:formatCode>General</c:formatCode>
                <c:ptCount val="101"/>
                <c:pt idx="0">
                  <c:v>0</c:v>
                </c:pt>
                <c:pt idx="1">
                  <c:v>2.4780549432248944E-4</c:v>
                </c:pt>
                <c:pt idx="2">
                  <c:v>1.9765799637537218E-3</c:v>
                </c:pt>
                <c:pt idx="3">
                  <c:v>6.6380764867712827E-3</c:v>
                </c:pt>
                <c:pt idx="4">
                  <c:v>1.5626100227994266E-2</c:v>
                </c:pt>
                <c:pt idx="5">
                  <c:v>3.0248736457421654E-2</c:v>
                </c:pt>
                <c:pt idx="6">
                  <c:v>5.1701999440667223E-2</c:v>
                </c:pt>
                <c:pt idx="7">
                  <c:v>8.1045340354356066E-2</c:v>
                </c:pt>
                <c:pt idx="8">
                  <c:v>0.11917942270141557</c:v>
                </c:pt>
                <c:pt idx="9">
                  <c:v>0.16682653749197374</c:v>
                </c:pt>
                <c:pt idx="10">
                  <c:v>0.22451398828979274</c:v>
                </c:pt>
                <c:pt idx="11">
                  <c:v>0.29256072876869066</c:v>
                </c:pt>
                <c:pt idx="12">
                  <c:v>0.37106748342910567</c:v>
                </c:pt>
                <c:pt idx="13">
                  <c:v>0.45991052641455155</c:v>
                </c:pt>
                <c:pt idx="14">
                  <c:v>0.55873923482288979</c:v>
                </c:pt>
                <c:pt idx="15">
                  <c:v>0.66697747245474104</c:v>
                </c:pt>
                <c:pt idx="16">
                  <c:v>0.78382879853801068</c:v>
                </c:pt>
                <c:pt idx="17">
                  <c:v>0.90828543458571243</c:v>
                </c:pt>
                <c:pt idx="18">
                  <c:v>1.0391408621562499</c:v>
                </c:pt>
                <c:pt idx="19">
                  <c:v>1.175005865847814</c:v>
                </c:pt>
                <c:pt idx="20">
                  <c:v>1.3143277802978339</c:v>
                </c:pt>
                <c:pt idx="21">
                  <c:v>1.4554126481555469</c:v>
                </c:pt>
                <c:pt idx="22">
                  <c:v>1.5964499487726991</c:v>
                </c:pt>
                <c:pt idx="23">
                  <c:v>1.7355395154641002</c:v>
                </c:pt>
                <c:pt idx="24">
                  <c:v>1.8707202232922386</c:v>
                </c:pt>
                <c:pt idx="25">
                  <c:v>1.9999999999999998</c:v>
                </c:pt>
                <c:pt idx="26">
                  <c:v>2.1213866904208474</c:v>
                </c:pt>
                <c:pt idx="27">
                  <c:v>2.2329192897938102</c:v>
                </c:pt>
                <c:pt idx="28">
                  <c:v>2.3326990541420551</c:v>
                </c:pt>
                <c:pt idx="29">
                  <c:v>2.4189199963589774</c:v>
                </c:pt>
                <c:pt idx="30">
                  <c:v>2.4898982848827798</c:v>
                </c:pt>
                <c:pt idx="31">
                  <c:v>2.5441000777051914</c:v>
                </c:pt>
                <c:pt idx="32">
                  <c:v>2.5801673477078282</c:v>
                </c:pt>
                <c:pt idx="33">
                  <c:v>2.5969412855897422</c:v>
                </c:pt>
                <c:pt idx="34">
                  <c:v>2.5934829034700497</c:v>
                </c:pt>
                <c:pt idx="35">
                  <c:v>2.5690905050450485</c:v>
                </c:pt>
                <c:pt idx="36">
                  <c:v>2.5233137362802673</c:v>
                </c:pt>
                <c:pt idx="37">
                  <c:v>2.4559639832710944</c:v>
                </c:pt>
                <c:pt idx="38">
                  <c:v>2.3671209402856492</c:v>
                </c:pt>
                <c:pt idx="39">
                  <c:v>2.2571352302260683</c:v>
                </c:pt>
                <c:pt idx="40">
                  <c:v>2.1266270208801004</c:v>
                </c:pt>
                <c:pt idx="41">
                  <c:v>1.976480642424014</c:v>
                </c:pt>
                <c:pt idx="42">
                  <c:v>1.8078352737054453</c:v>
                </c:pt>
                <c:pt idx="43">
                  <c:v>1.6220718259059352</c:v>
                </c:pt>
                <c:pt idx="44">
                  <c:v>1.4207962112980452</c:v>
                </c:pt>
                <c:pt idx="45">
                  <c:v>1.2058192410423683</c:v>
                </c:pt>
                <c:pt idx="46">
                  <c:v>0.97913344843142658</c:v>
                </c:pt>
                <c:pt idx="47">
                  <c:v>0.74288718185612701</c:v>
                </c:pt>
                <c:pt idx="48">
                  <c:v>0.49935635429346442</c:v>
                </c:pt>
                <c:pt idx="49">
                  <c:v>0.25091427262293181</c:v>
                </c:pt>
                <c:pt idx="50">
                  <c:v>4.90059381963448E-16</c:v>
                </c:pt>
                <c:pt idx="51">
                  <c:v>-0.25091427262293087</c:v>
                </c:pt>
                <c:pt idx="52">
                  <c:v>-0.49935635429346348</c:v>
                </c:pt>
                <c:pt idx="53">
                  <c:v>-0.74288718185612779</c:v>
                </c:pt>
                <c:pt idx="54">
                  <c:v>-0.97913344843142402</c:v>
                </c:pt>
                <c:pt idx="55">
                  <c:v>-1.2058192410423674</c:v>
                </c:pt>
                <c:pt idx="56">
                  <c:v>-1.4207962112980446</c:v>
                </c:pt>
                <c:pt idx="57">
                  <c:v>-1.6220718259059332</c:v>
                </c:pt>
                <c:pt idx="58">
                  <c:v>-1.8078352737054459</c:v>
                </c:pt>
                <c:pt idx="59">
                  <c:v>-1.9764806424240122</c:v>
                </c:pt>
                <c:pt idx="60">
                  <c:v>-2.1266270208800986</c:v>
                </c:pt>
                <c:pt idx="61">
                  <c:v>-2.2571352302260679</c:v>
                </c:pt>
                <c:pt idx="62">
                  <c:v>-2.3671209402856483</c:v>
                </c:pt>
                <c:pt idx="63">
                  <c:v>-2.4559639832710944</c:v>
                </c:pt>
                <c:pt idx="64">
                  <c:v>-2.5233137362802673</c:v>
                </c:pt>
                <c:pt idx="65">
                  <c:v>-2.5690905050450485</c:v>
                </c:pt>
                <c:pt idx="66">
                  <c:v>-2.5934829034700497</c:v>
                </c:pt>
                <c:pt idx="67">
                  <c:v>-2.5969412855897422</c:v>
                </c:pt>
                <c:pt idx="68">
                  <c:v>-2.5801673477078282</c:v>
                </c:pt>
                <c:pt idx="69">
                  <c:v>-2.5441000777051914</c:v>
                </c:pt>
                <c:pt idx="70">
                  <c:v>-2.4898982848827806</c:v>
                </c:pt>
                <c:pt idx="71">
                  <c:v>-2.4189199963589769</c:v>
                </c:pt>
                <c:pt idx="72">
                  <c:v>-2.3326990541420556</c:v>
                </c:pt>
                <c:pt idx="73">
                  <c:v>-2.232919289793811</c:v>
                </c:pt>
                <c:pt idx="74">
                  <c:v>-2.1213866904208469</c:v>
                </c:pt>
                <c:pt idx="75">
                  <c:v>-2.0000000000000004</c:v>
                </c:pt>
                <c:pt idx="76">
                  <c:v>-1.87072022329224</c:v>
                </c:pt>
                <c:pt idx="77">
                  <c:v>-1.7355395154641009</c:v>
                </c:pt>
                <c:pt idx="78">
                  <c:v>-1.5964499487727002</c:v>
                </c:pt>
                <c:pt idx="79">
                  <c:v>-1.4554126481555465</c:v>
                </c:pt>
                <c:pt idx="80">
                  <c:v>-1.3143277802978344</c:v>
                </c:pt>
                <c:pt idx="81">
                  <c:v>-1.1750058658478153</c:v>
                </c:pt>
                <c:pt idx="82">
                  <c:v>-1.0391408621562519</c:v>
                </c:pt>
                <c:pt idx="83">
                  <c:v>-0.90828543458571109</c:v>
                </c:pt>
                <c:pt idx="84">
                  <c:v>-0.78382879853801024</c:v>
                </c:pt>
                <c:pt idx="85">
                  <c:v>-0.6669774724547417</c:v>
                </c:pt>
                <c:pt idx="86">
                  <c:v>-0.55873923482289067</c:v>
                </c:pt>
                <c:pt idx="87">
                  <c:v>-0.45991052641455277</c:v>
                </c:pt>
                <c:pt idx="88">
                  <c:v>-0.37106748342910634</c:v>
                </c:pt>
                <c:pt idx="89">
                  <c:v>-0.29256072876869066</c:v>
                </c:pt>
                <c:pt idx="90">
                  <c:v>-0.22451398828979297</c:v>
                </c:pt>
                <c:pt idx="91">
                  <c:v>-0.16682653749197418</c:v>
                </c:pt>
                <c:pt idx="92">
                  <c:v>-0.11917942270141613</c:v>
                </c:pt>
                <c:pt idx="93">
                  <c:v>-8.1045340354356288E-2</c:v>
                </c:pt>
                <c:pt idx="94">
                  <c:v>-5.1701999440667223E-2</c:v>
                </c:pt>
                <c:pt idx="95">
                  <c:v>-3.0248736457421765E-2</c:v>
                </c:pt>
                <c:pt idx="96">
                  <c:v>-1.5626100227994377E-2</c:v>
                </c:pt>
                <c:pt idx="97">
                  <c:v>-6.6380764867712827E-3</c:v>
                </c:pt>
                <c:pt idx="98">
                  <c:v>-1.976579963753694E-3</c:v>
                </c:pt>
                <c:pt idx="99">
                  <c:v>-2.4780549432251719E-4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12-4828-A810-6831C6BE6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622488"/>
        <c:axId val="784623472"/>
      </c:scatterChart>
      <c:valAx>
        <c:axId val="7846224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84623472"/>
        <c:crosses val="autoZero"/>
        <c:crossBetween val="midCat"/>
      </c:valAx>
      <c:valAx>
        <c:axId val="784623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84622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リサージュ曲線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'【解答】演習問題4（リサージュ曲線）'!$D$9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'【解答】演習問題4（リサージュ曲線）'!$C$10:$C$110</c:f>
              <c:numCache>
                <c:formatCode>General</c:formatCode>
                <c:ptCount val="101"/>
                <c:pt idx="0">
                  <c:v>1</c:v>
                </c:pt>
                <c:pt idx="1">
                  <c:v>0.98228725072868872</c:v>
                </c:pt>
                <c:pt idx="2">
                  <c:v>0.92977648588825146</c:v>
                </c:pt>
                <c:pt idx="3">
                  <c:v>0.84432792550201508</c:v>
                </c:pt>
                <c:pt idx="4">
                  <c:v>0.72896862742141155</c:v>
                </c:pt>
                <c:pt idx="5">
                  <c:v>0.58778525229247325</c:v>
                </c:pt>
                <c:pt idx="6">
                  <c:v>0.42577929156507266</c:v>
                </c:pt>
                <c:pt idx="7">
                  <c:v>0.24868988716485474</c:v>
                </c:pt>
                <c:pt idx="8">
                  <c:v>6.2790519529313527E-2</c:v>
                </c:pt>
                <c:pt idx="9">
                  <c:v>-0.12533323356430415</c:v>
                </c:pt>
                <c:pt idx="10">
                  <c:v>-0.30901699437494712</c:v>
                </c:pt>
                <c:pt idx="11">
                  <c:v>-0.48175367410171505</c:v>
                </c:pt>
                <c:pt idx="12">
                  <c:v>-0.63742398974868975</c:v>
                </c:pt>
                <c:pt idx="13">
                  <c:v>-0.77051324277578936</c:v>
                </c:pt>
                <c:pt idx="14">
                  <c:v>-0.87630668004386358</c:v>
                </c:pt>
                <c:pt idx="15">
                  <c:v>-0.95105651629515342</c:v>
                </c:pt>
                <c:pt idx="16">
                  <c:v>-0.99211470131447776</c:v>
                </c:pt>
                <c:pt idx="17">
                  <c:v>-0.99802672842827156</c:v>
                </c:pt>
                <c:pt idx="18">
                  <c:v>-0.96858316112863119</c:v>
                </c:pt>
                <c:pt idx="19">
                  <c:v>-0.90482705246601969</c:v>
                </c:pt>
                <c:pt idx="20">
                  <c:v>-0.80901699437494778</c:v>
                </c:pt>
                <c:pt idx="21">
                  <c:v>-0.68454710592868862</c:v>
                </c:pt>
                <c:pt idx="22">
                  <c:v>-0.5358267949789971</c:v>
                </c:pt>
                <c:pt idx="23">
                  <c:v>-0.36812455268467781</c:v>
                </c:pt>
                <c:pt idx="24">
                  <c:v>-0.18738131458572463</c:v>
                </c:pt>
                <c:pt idx="25">
                  <c:v>-1.83772268236293E-16</c:v>
                </c:pt>
                <c:pt idx="26">
                  <c:v>0.18738131458572513</c:v>
                </c:pt>
                <c:pt idx="27">
                  <c:v>0.36812455268467742</c:v>
                </c:pt>
                <c:pt idx="28">
                  <c:v>0.53582679497899677</c:v>
                </c:pt>
                <c:pt idx="29">
                  <c:v>0.68454710592868795</c:v>
                </c:pt>
                <c:pt idx="30">
                  <c:v>0.80901699437494679</c:v>
                </c:pt>
                <c:pt idx="31">
                  <c:v>0.90482705246601935</c:v>
                </c:pt>
                <c:pt idx="32">
                  <c:v>0.96858316112863097</c:v>
                </c:pt>
                <c:pt idx="33">
                  <c:v>0.99802672842827156</c:v>
                </c:pt>
                <c:pt idx="34">
                  <c:v>0.99211470131447776</c:v>
                </c:pt>
                <c:pt idx="35">
                  <c:v>0.95105651629515364</c:v>
                </c:pt>
                <c:pt idx="36">
                  <c:v>0.87630668004386381</c:v>
                </c:pt>
                <c:pt idx="37">
                  <c:v>0.77051324277578903</c:v>
                </c:pt>
                <c:pt idx="38">
                  <c:v>0.6374239897486903</c:v>
                </c:pt>
                <c:pt idx="39">
                  <c:v>0.48175367410171538</c:v>
                </c:pt>
                <c:pt idx="40">
                  <c:v>0.30901699437494856</c:v>
                </c:pt>
                <c:pt idx="41">
                  <c:v>0.12533323356430559</c:v>
                </c:pt>
                <c:pt idx="42">
                  <c:v>-6.2790519529313596E-2</c:v>
                </c:pt>
                <c:pt idx="43">
                  <c:v>-0.24868988716485482</c:v>
                </c:pt>
                <c:pt idx="44">
                  <c:v>-0.42577929156507172</c:v>
                </c:pt>
                <c:pt idx="45">
                  <c:v>-0.58778525229247292</c:v>
                </c:pt>
                <c:pt idx="46">
                  <c:v>-0.72896862742141177</c:v>
                </c:pt>
                <c:pt idx="47">
                  <c:v>-0.84432792550201563</c:v>
                </c:pt>
                <c:pt idx="48">
                  <c:v>-0.92977648588825146</c:v>
                </c:pt>
                <c:pt idx="49">
                  <c:v>-0.9822872507286885</c:v>
                </c:pt>
                <c:pt idx="50">
                  <c:v>-1</c:v>
                </c:pt>
                <c:pt idx="51">
                  <c:v>-0.98228725072868894</c:v>
                </c:pt>
                <c:pt idx="52">
                  <c:v>-0.92977648588825101</c:v>
                </c:pt>
                <c:pt idx="53">
                  <c:v>-0.84432792550201508</c:v>
                </c:pt>
                <c:pt idx="54">
                  <c:v>-0.72896862742141233</c:v>
                </c:pt>
                <c:pt idx="55">
                  <c:v>-0.58778525229247203</c:v>
                </c:pt>
                <c:pt idx="56">
                  <c:v>-0.42577929156507238</c:v>
                </c:pt>
                <c:pt idx="57">
                  <c:v>-0.24868988716485554</c:v>
                </c:pt>
                <c:pt idx="58">
                  <c:v>-6.279051952931522E-2</c:v>
                </c:pt>
                <c:pt idx="59">
                  <c:v>0.12533323356430487</c:v>
                </c:pt>
                <c:pt idx="60">
                  <c:v>0.30901699437494534</c:v>
                </c:pt>
                <c:pt idx="61">
                  <c:v>0.48175367410171394</c:v>
                </c:pt>
                <c:pt idx="62">
                  <c:v>0.63742398974868908</c:v>
                </c:pt>
                <c:pt idx="63">
                  <c:v>0.77051324277578914</c:v>
                </c:pt>
                <c:pt idx="64">
                  <c:v>0.87630668004386303</c:v>
                </c:pt>
                <c:pt idx="65">
                  <c:v>0.95105651629515342</c:v>
                </c:pt>
                <c:pt idx="66">
                  <c:v>0.99211470131447788</c:v>
                </c:pt>
                <c:pt idx="67">
                  <c:v>0.99802672842827167</c:v>
                </c:pt>
                <c:pt idx="68">
                  <c:v>0.96858316112863074</c:v>
                </c:pt>
                <c:pt idx="69">
                  <c:v>0.90482705246602002</c:v>
                </c:pt>
                <c:pt idx="70">
                  <c:v>0.80901699437494767</c:v>
                </c:pt>
                <c:pt idx="71">
                  <c:v>0.6845471059286885</c:v>
                </c:pt>
                <c:pt idx="72">
                  <c:v>0.53582679497899732</c:v>
                </c:pt>
                <c:pt idx="73">
                  <c:v>0.36812455268467981</c:v>
                </c:pt>
                <c:pt idx="74">
                  <c:v>0.18738131458572413</c:v>
                </c:pt>
                <c:pt idx="75">
                  <c:v>5.51316804708879E-16</c:v>
                </c:pt>
                <c:pt idx="76">
                  <c:v>-0.18738131458572305</c:v>
                </c:pt>
                <c:pt idx="77">
                  <c:v>-0.36812455268467875</c:v>
                </c:pt>
                <c:pt idx="78">
                  <c:v>-0.53582679497899643</c:v>
                </c:pt>
                <c:pt idx="79">
                  <c:v>-0.68454710592868906</c:v>
                </c:pt>
                <c:pt idx="80">
                  <c:v>-0.80901699437494601</c:v>
                </c:pt>
                <c:pt idx="81">
                  <c:v>-0.90482705246601958</c:v>
                </c:pt>
                <c:pt idx="82">
                  <c:v>-0.96858316112863041</c:v>
                </c:pt>
                <c:pt idx="83">
                  <c:v>-0.99802672842827167</c:v>
                </c:pt>
                <c:pt idx="84">
                  <c:v>-0.99211470131447776</c:v>
                </c:pt>
                <c:pt idx="85">
                  <c:v>-0.9510565162951532</c:v>
                </c:pt>
                <c:pt idx="86">
                  <c:v>-0.87630668004386358</c:v>
                </c:pt>
                <c:pt idx="87">
                  <c:v>-0.77051324277578992</c:v>
                </c:pt>
                <c:pt idx="88">
                  <c:v>-0.6374239897486913</c:v>
                </c:pt>
                <c:pt idx="89">
                  <c:v>-0.48175367410171493</c:v>
                </c:pt>
                <c:pt idx="90">
                  <c:v>-0.30901699437494806</c:v>
                </c:pt>
                <c:pt idx="91">
                  <c:v>-0.12533323356430598</c:v>
                </c:pt>
                <c:pt idx="92">
                  <c:v>6.2790519529314123E-2</c:v>
                </c:pt>
                <c:pt idx="93">
                  <c:v>0.24868988716485102</c:v>
                </c:pt>
                <c:pt idx="94">
                  <c:v>0.4257792915650746</c:v>
                </c:pt>
                <c:pt idx="95">
                  <c:v>0.58778525229247403</c:v>
                </c:pt>
                <c:pt idx="96">
                  <c:v>0.72896862742141155</c:v>
                </c:pt>
                <c:pt idx="97">
                  <c:v>0.84432792550201452</c:v>
                </c:pt>
                <c:pt idx="98">
                  <c:v>0.92977648588825057</c:v>
                </c:pt>
                <c:pt idx="99">
                  <c:v>0.98228725072868872</c:v>
                </c:pt>
                <c:pt idx="100">
                  <c:v>1</c:v>
                </c:pt>
              </c:numCache>
            </c:numRef>
          </c:xVal>
          <c:yVal>
            <c:numRef>
              <c:f>'【解答】演習問題4（リサージュ曲線）'!$D$10:$D$110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0.12533323356430426</c:v>
                </c:pt>
                <c:pt idx="2">
                  <c:v>0.24868988716485479</c:v>
                </c:pt>
                <c:pt idx="3">
                  <c:v>0.36812455268467792</c:v>
                </c:pt>
                <c:pt idx="4">
                  <c:v>0.48175367410171532</c:v>
                </c:pt>
                <c:pt idx="5">
                  <c:v>0.58778525229247314</c:v>
                </c:pt>
                <c:pt idx="6">
                  <c:v>0.68454710592868862</c:v>
                </c:pt>
                <c:pt idx="7">
                  <c:v>0.77051324277578925</c:v>
                </c:pt>
                <c:pt idx="8">
                  <c:v>0.84432792550201508</c:v>
                </c:pt>
                <c:pt idx="9">
                  <c:v>0.90482705246601958</c:v>
                </c:pt>
                <c:pt idx="10">
                  <c:v>0.95105651629515353</c:v>
                </c:pt>
                <c:pt idx="11">
                  <c:v>0.98228725072868861</c:v>
                </c:pt>
                <c:pt idx="12">
                  <c:v>0.99802672842827156</c:v>
                </c:pt>
                <c:pt idx="13">
                  <c:v>0.99802672842827156</c:v>
                </c:pt>
                <c:pt idx="14">
                  <c:v>0.98228725072868872</c:v>
                </c:pt>
                <c:pt idx="15">
                  <c:v>0.95105651629515364</c:v>
                </c:pt>
                <c:pt idx="16">
                  <c:v>0.90482705246601947</c:v>
                </c:pt>
                <c:pt idx="17">
                  <c:v>0.84432792550201496</c:v>
                </c:pt>
                <c:pt idx="18">
                  <c:v>0.77051324277578925</c:v>
                </c:pt>
                <c:pt idx="19">
                  <c:v>0.68454710592868884</c:v>
                </c:pt>
                <c:pt idx="20">
                  <c:v>0.58778525229247325</c:v>
                </c:pt>
                <c:pt idx="21">
                  <c:v>0.48175367410171521</c:v>
                </c:pt>
                <c:pt idx="22">
                  <c:v>0.36812455268467814</c:v>
                </c:pt>
                <c:pt idx="23">
                  <c:v>0.24868988716485524</c:v>
                </c:pt>
                <c:pt idx="24">
                  <c:v>0.12533323356430454</c:v>
                </c:pt>
                <c:pt idx="25">
                  <c:v>1.22514845490862E-16</c:v>
                </c:pt>
                <c:pt idx="26">
                  <c:v>-0.12533323356430429</c:v>
                </c:pt>
                <c:pt idx="27">
                  <c:v>-0.24868988716485457</c:v>
                </c:pt>
                <c:pt idx="28">
                  <c:v>-0.36812455268467792</c:v>
                </c:pt>
                <c:pt idx="29">
                  <c:v>-0.48175367410171538</c:v>
                </c:pt>
                <c:pt idx="30">
                  <c:v>-0.58778525229247269</c:v>
                </c:pt>
                <c:pt idx="31">
                  <c:v>-0.68454710592868839</c:v>
                </c:pt>
                <c:pt idx="32">
                  <c:v>-0.77051324277578936</c:v>
                </c:pt>
                <c:pt idx="33">
                  <c:v>-0.8443279255020153</c:v>
                </c:pt>
                <c:pt idx="34">
                  <c:v>-0.9048270524660198</c:v>
                </c:pt>
                <c:pt idx="35">
                  <c:v>-0.95105651629515353</c:v>
                </c:pt>
                <c:pt idx="36">
                  <c:v>-0.98228725072868872</c:v>
                </c:pt>
                <c:pt idx="37">
                  <c:v>-0.99802672842827156</c:v>
                </c:pt>
                <c:pt idx="38">
                  <c:v>-0.99802672842827156</c:v>
                </c:pt>
                <c:pt idx="39">
                  <c:v>-0.98228725072868872</c:v>
                </c:pt>
                <c:pt idx="40">
                  <c:v>-0.95105651629515364</c:v>
                </c:pt>
                <c:pt idx="41">
                  <c:v>-0.90482705246601991</c:v>
                </c:pt>
                <c:pt idx="42">
                  <c:v>-0.84432792550201496</c:v>
                </c:pt>
                <c:pt idx="43">
                  <c:v>-0.77051324277578959</c:v>
                </c:pt>
                <c:pt idx="44">
                  <c:v>-0.68454710592868895</c:v>
                </c:pt>
                <c:pt idx="45">
                  <c:v>-0.58778525229247336</c:v>
                </c:pt>
                <c:pt idx="46">
                  <c:v>-0.4817536741017161</c:v>
                </c:pt>
                <c:pt idx="47">
                  <c:v>-0.36812455268467786</c:v>
                </c:pt>
                <c:pt idx="48">
                  <c:v>-0.24868988716485535</c:v>
                </c:pt>
                <c:pt idx="49">
                  <c:v>-0.12533323356430465</c:v>
                </c:pt>
                <c:pt idx="50">
                  <c:v>-2.45029690981724E-16</c:v>
                </c:pt>
                <c:pt idx="51">
                  <c:v>0.12533323356430418</c:v>
                </c:pt>
                <c:pt idx="52">
                  <c:v>0.24868988716485488</c:v>
                </c:pt>
                <c:pt idx="53">
                  <c:v>0.3681245526846782</c:v>
                </c:pt>
                <c:pt idx="54">
                  <c:v>0.48175367410171488</c:v>
                </c:pt>
                <c:pt idx="55">
                  <c:v>0.58778525229247292</c:v>
                </c:pt>
                <c:pt idx="56">
                  <c:v>0.68454710592868862</c:v>
                </c:pt>
                <c:pt idx="57">
                  <c:v>0.7705132427757887</c:v>
                </c:pt>
                <c:pt idx="58">
                  <c:v>0.84432792550201519</c:v>
                </c:pt>
                <c:pt idx="59">
                  <c:v>0.90482705246601935</c:v>
                </c:pt>
                <c:pt idx="60">
                  <c:v>0.9510565162951532</c:v>
                </c:pt>
                <c:pt idx="61">
                  <c:v>0.98228725072868861</c:v>
                </c:pt>
                <c:pt idx="62">
                  <c:v>0.99802672842827156</c:v>
                </c:pt>
                <c:pt idx="63">
                  <c:v>0.99802672842827156</c:v>
                </c:pt>
                <c:pt idx="64">
                  <c:v>0.98228725072868861</c:v>
                </c:pt>
                <c:pt idx="65">
                  <c:v>0.95105651629515364</c:v>
                </c:pt>
                <c:pt idx="66">
                  <c:v>0.90482705246601924</c:v>
                </c:pt>
                <c:pt idx="67">
                  <c:v>0.84432792550201508</c:v>
                </c:pt>
                <c:pt idx="68">
                  <c:v>0.77051324277578859</c:v>
                </c:pt>
                <c:pt idx="69">
                  <c:v>0.68454710592868839</c:v>
                </c:pt>
                <c:pt idx="70">
                  <c:v>0.58778525229247336</c:v>
                </c:pt>
                <c:pt idx="71">
                  <c:v>0.48175367410171466</c:v>
                </c:pt>
                <c:pt idx="72">
                  <c:v>0.36812455268467797</c:v>
                </c:pt>
                <c:pt idx="73">
                  <c:v>0.24868988716485549</c:v>
                </c:pt>
                <c:pt idx="74">
                  <c:v>0.1253332335643039</c:v>
                </c:pt>
                <c:pt idx="75">
                  <c:v>3.67544536472586E-16</c:v>
                </c:pt>
                <c:pt idx="76">
                  <c:v>-0.12533323356430318</c:v>
                </c:pt>
                <c:pt idx="77">
                  <c:v>-0.24868988716485477</c:v>
                </c:pt>
                <c:pt idx="78">
                  <c:v>-0.36812455268467725</c:v>
                </c:pt>
                <c:pt idx="79">
                  <c:v>-0.48175367410171555</c:v>
                </c:pt>
                <c:pt idx="80">
                  <c:v>-0.5877852522924728</c:v>
                </c:pt>
                <c:pt idx="81">
                  <c:v>-0.68454710592868784</c:v>
                </c:pt>
                <c:pt idx="82">
                  <c:v>-0.77051324277578803</c:v>
                </c:pt>
                <c:pt idx="83">
                  <c:v>-0.84432792550201563</c:v>
                </c:pt>
                <c:pt idx="84">
                  <c:v>-0.90482705246601969</c:v>
                </c:pt>
                <c:pt idx="85">
                  <c:v>-0.95105651629515342</c:v>
                </c:pt>
                <c:pt idx="86">
                  <c:v>-0.9822872507286885</c:v>
                </c:pt>
                <c:pt idx="87">
                  <c:v>-0.99802672842827145</c:v>
                </c:pt>
                <c:pt idx="88">
                  <c:v>-0.99802672842827156</c:v>
                </c:pt>
                <c:pt idx="89">
                  <c:v>-0.98228725072868861</c:v>
                </c:pt>
                <c:pt idx="90">
                  <c:v>-0.95105651629515375</c:v>
                </c:pt>
                <c:pt idx="91">
                  <c:v>-0.90482705246602002</c:v>
                </c:pt>
                <c:pt idx="92">
                  <c:v>-0.84432792550201607</c:v>
                </c:pt>
                <c:pt idx="93">
                  <c:v>-0.7705132427757897</c:v>
                </c:pt>
                <c:pt idx="94">
                  <c:v>-0.6845471059286885</c:v>
                </c:pt>
                <c:pt idx="95">
                  <c:v>-0.58778525229247347</c:v>
                </c:pt>
                <c:pt idx="96">
                  <c:v>-0.48175367410171632</c:v>
                </c:pt>
                <c:pt idx="97">
                  <c:v>-0.36812455268467809</c:v>
                </c:pt>
                <c:pt idx="98">
                  <c:v>-0.2486898871648556</c:v>
                </c:pt>
                <c:pt idx="99">
                  <c:v>-0.12533323356430401</c:v>
                </c:pt>
                <c:pt idx="100">
                  <c:v>-4.90059381963448E-16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30-45E0-8C0F-8DBA3FA71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798312"/>
        <c:axId val="992799952"/>
      </c:scatterChart>
      <c:valAx>
        <c:axId val="992798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2799952"/>
        <c:crosses val="autoZero"/>
        <c:crossBetween val="midCat"/>
      </c:valAx>
      <c:valAx>
        <c:axId val="9927999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2798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'付録（キメラカーブ）'!$D$9</c:f>
              <c:strCache>
                <c:ptCount val="1"/>
                <c:pt idx="0">
                  <c:v>y</c:v>
                </c:pt>
              </c:strCache>
            </c:strRef>
          </c:tx>
          <c:spPr>
            <a:ln w="0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56000">
                    <a:srgbClr val="0070C0"/>
                  </a:gs>
                  <a:gs pos="30000">
                    <a:srgbClr val="709DD6"/>
                  </a:gs>
                  <a:gs pos="82000">
                    <a:schemeClr val="accent1">
                      <a:lumMod val="60000"/>
                      <a:lumOff val="40000"/>
                    </a:schemeClr>
                  </a:gs>
                  <a:gs pos="98000">
                    <a:schemeClr val="bg1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dPt>
            <c:idx val="101"/>
            <c:marker>
              <c:symbol val="none"/>
            </c:marker>
            <c:bubble3D val="0"/>
            <c:spPr>
              <a:ln w="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391-4DB8-8706-FB096502CF67}"/>
              </c:ext>
            </c:extLst>
          </c:dPt>
          <c:dPt>
            <c:idx val="102"/>
            <c:marker>
              <c:symbol val="none"/>
            </c:marker>
            <c:bubble3D val="0"/>
            <c:spPr>
              <a:ln w="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91-4DB8-8706-FB096502CF67}"/>
              </c:ext>
            </c:extLst>
          </c:dPt>
          <c:dPt>
            <c:idx val="103"/>
            <c:marker>
              <c:symbol val="none"/>
            </c:marker>
            <c:bubble3D val="0"/>
            <c:spPr>
              <a:ln w="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3391-4DB8-8706-FB096502CF67}"/>
              </c:ext>
            </c:extLst>
          </c:dPt>
          <c:dPt>
            <c:idx val="104"/>
            <c:marker>
              <c:symbol val="none"/>
            </c:marker>
            <c:bubble3D val="0"/>
            <c:spPr>
              <a:ln w="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391-4DB8-8706-FB096502CF67}"/>
              </c:ext>
            </c:extLst>
          </c:dPt>
          <c:xVal>
            <c:numRef>
              <c:f>'付録（キメラカーブ）'!$C$10:$C$114</c:f>
              <c:numCache>
                <c:formatCode>General</c:formatCode>
                <c:ptCount val="10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-1</c:v>
                </c:pt>
                <c:pt idx="103">
                  <c:v>-1</c:v>
                </c:pt>
                <c:pt idx="104">
                  <c:v>1</c:v>
                </c:pt>
              </c:numCache>
            </c:numRef>
          </c:xVal>
          <c:yVal>
            <c:numRef>
              <c:f>'付録（キメラカーブ）'!$D$10:$D$114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-1</c:v>
                </c:pt>
                <c:pt idx="104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91-4DB8-8706-FB096502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344880"/>
        <c:axId val="1132353408"/>
      </c:scatterChart>
      <c:valAx>
        <c:axId val="1132344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32353408"/>
        <c:crosses val="autoZero"/>
        <c:crossBetween val="midCat"/>
      </c:valAx>
      <c:valAx>
        <c:axId val="1132353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3234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407670</xdr:colOff>
      <xdr:row>6</xdr:row>
      <xdr:rowOff>22860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B1BE9A2-EB28-4804-A132-672AAED92675}"/>
            </a:ext>
          </a:extLst>
        </xdr:cNvPr>
        <xdr:cNvSpPr/>
      </xdr:nvSpPr>
      <xdr:spPr>
        <a:xfrm>
          <a:off x="670560" y="228600"/>
          <a:ext cx="644271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99060</xdr:colOff>
      <xdr:row>1</xdr:row>
      <xdr:rowOff>60960</xdr:rowOff>
    </xdr:from>
    <xdr:to>
      <xdr:col>10</xdr:col>
      <xdr:colOff>259080</xdr:colOff>
      <xdr:row>5</xdr:row>
      <xdr:rowOff>198120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FFAC7F9-45A4-471D-A696-176606E4A697}"/>
            </a:ext>
          </a:extLst>
        </xdr:cNvPr>
        <xdr:cNvSpPr txBox="1"/>
      </xdr:nvSpPr>
      <xdr:spPr>
        <a:xfrm>
          <a:off x="769620" y="289560"/>
          <a:ext cx="619506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演習問題１</a:t>
          </a:r>
          <a:endParaRPr kumimoji="1" lang="en-US" altLang="ja-JP" sz="1100" b="1"/>
        </a:p>
        <a:p>
          <a:r>
            <a:rPr kumimoji="1" lang="ja-JP" altLang="en-US" sz="1100"/>
            <a:t>（１）散布図を使って円を描きましょう（正</a:t>
          </a:r>
          <a:r>
            <a:rPr kumimoji="1" lang="en-US" altLang="ja-JP" sz="1100"/>
            <a:t>100</a:t>
          </a:r>
          <a:r>
            <a:rPr kumimoji="1" lang="ja-JP" altLang="en-US" sz="1100"/>
            <a:t>角形を作成しましょう）。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（２）周期を入れて糸掛けを行いましょう。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11</xdr:row>
      <xdr:rowOff>83820</xdr:rowOff>
    </xdr:from>
    <xdr:to>
      <xdr:col>7</xdr:col>
      <xdr:colOff>563880</xdr:colOff>
      <xdr:row>18</xdr:row>
      <xdr:rowOff>198120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8F44A24A-93D4-4B84-87E7-47A91134104C}"/>
            </a:ext>
          </a:extLst>
        </xdr:cNvPr>
        <xdr:cNvSpPr/>
      </xdr:nvSpPr>
      <xdr:spPr>
        <a:xfrm>
          <a:off x="2788920" y="2613660"/>
          <a:ext cx="2468880" cy="1714500"/>
        </a:xfrm>
        <a:prstGeom prst="wedgeRectCallout">
          <a:avLst>
            <a:gd name="adj1" fmla="val -59105"/>
            <a:gd name="adj2" fmla="val -70833"/>
          </a:avLst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10</xdr:col>
      <xdr:colOff>407670</xdr:colOff>
      <xdr:row>6</xdr:row>
      <xdr:rowOff>22860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705EC58-553B-4EFA-834F-38190019994B}"/>
            </a:ext>
          </a:extLst>
        </xdr:cNvPr>
        <xdr:cNvSpPr/>
      </xdr:nvSpPr>
      <xdr:spPr>
        <a:xfrm>
          <a:off x="670560" y="228600"/>
          <a:ext cx="644271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99060</xdr:colOff>
      <xdr:row>1</xdr:row>
      <xdr:rowOff>60960</xdr:rowOff>
    </xdr:from>
    <xdr:to>
      <xdr:col>10</xdr:col>
      <xdr:colOff>259080</xdr:colOff>
      <xdr:row>5</xdr:row>
      <xdr:rowOff>198120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F9F9FAA-71EB-4F0F-9D81-F57C789985DE}"/>
            </a:ext>
          </a:extLst>
        </xdr:cNvPr>
        <xdr:cNvSpPr txBox="1"/>
      </xdr:nvSpPr>
      <xdr:spPr>
        <a:xfrm>
          <a:off x="769620" y="289560"/>
          <a:ext cx="619506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演習問題１</a:t>
          </a:r>
          <a:endParaRPr kumimoji="1" lang="en-US" altLang="ja-JP" sz="1100" b="1"/>
        </a:p>
        <a:p>
          <a:r>
            <a:rPr kumimoji="1" lang="ja-JP" altLang="en-US" sz="1100"/>
            <a:t>（１）散布図を使って円を描きましょう（正</a:t>
          </a:r>
          <a:r>
            <a:rPr kumimoji="1" lang="en-US" altLang="ja-JP" sz="1100"/>
            <a:t>100</a:t>
          </a:r>
          <a:r>
            <a:rPr kumimoji="1" lang="ja-JP" altLang="en-US" sz="1100"/>
            <a:t>角形を作成しましょう）。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（２）周期を入れて糸掛けを行いましょう。</a:t>
          </a:r>
        </a:p>
      </xdr:txBody>
    </xdr:sp>
    <xdr:clientData/>
  </xdr:twoCellAnchor>
  <xdr:twoCellAnchor>
    <xdr:from>
      <xdr:col>9</xdr:col>
      <xdr:colOff>3810</xdr:colOff>
      <xdr:row>9</xdr:row>
      <xdr:rowOff>7620</xdr:rowOff>
    </xdr:from>
    <xdr:to>
      <xdr:col>14</xdr:col>
      <xdr:colOff>251010</xdr:colOff>
      <xdr:row>24</xdr:row>
      <xdr:rowOff>178620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7AC2DDA-9EBB-4BAB-9130-845FE28C5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541020</xdr:colOff>
      <xdr:row>9</xdr:row>
      <xdr:rowOff>7620</xdr:rowOff>
    </xdr:from>
    <xdr:to>
      <xdr:col>7</xdr:col>
      <xdr:colOff>632460</xdr:colOff>
      <xdr:row>10</xdr:row>
      <xdr:rowOff>38100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D6080B03-8634-4A6C-B3DB-4C5F290F0A58}"/>
            </a:ext>
          </a:extLst>
        </xdr:cNvPr>
        <xdr:cNvSpPr txBox="1"/>
      </xdr:nvSpPr>
      <xdr:spPr>
        <a:xfrm>
          <a:off x="3223260" y="2080260"/>
          <a:ext cx="210312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←関数を入力し、コピー。</a:t>
          </a:r>
        </a:p>
      </xdr:txBody>
    </xdr:sp>
    <xdr:clientData/>
  </xdr:twoCellAnchor>
  <xdr:twoCellAnchor>
    <xdr:from>
      <xdr:col>4</xdr:col>
      <xdr:colOff>373380</xdr:colOff>
      <xdr:row>12</xdr:row>
      <xdr:rowOff>0</xdr:rowOff>
    </xdr:from>
    <xdr:to>
      <xdr:col>7</xdr:col>
      <xdr:colOff>464820</xdr:colOff>
      <xdr:row>18</xdr:row>
      <xdr:rowOff>129540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1ACDB0E8-6302-463C-AD3C-D77051E69B8B}"/>
            </a:ext>
          </a:extLst>
        </xdr:cNvPr>
        <xdr:cNvSpPr txBox="1"/>
      </xdr:nvSpPr>
      <xdr:spPr>
        <a:xfrm>
          <a:off x="3055620" y="2758440"/>
          <a:ext cx="2103120" cy="15011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="1">
              <a:solidFill>
                <a:srgbClr val="FF0000"/>
              </a:solidFill>
            </a:rPr>
            <a:t>【</a:t>
          </a:r>
          <a:r>
            <a:rPr kumimoji="1" lang="ja-JP" altLang="en-US" sz="1100" b="1">
              <a:solidFill>
                <a:srgbClr val="FF0000"/>
              </a:solidFill>
            </a:rPr>
            <a:t>周期なしの場合</a:t>
          </a:r>
          <a:r>
            <a:rPr kumimoji="1" lang="en-US" altLang="ja-JP" sz="1100" b="1">
              <a:solidFill>
                <a:srgbClr val="FF0000"/>
              </a:solidFill>
            </a:rPr>
            <a:t>】</a:t>
          </a:r>
        </a:p>
        <a:p>
          <a:r>
            <a:rPr kumimoji="1" lang="en-US" altLang="ja-JP" sz="1100" b="1">
              <a:solidFill>
                <a:srgbClr val="FF0000"/>
              </a:solidFill>
            </a:rPr>
            <a:t>=COS(2*PI()*B10/100)</a:t>
          </a:r>
        </a:p>
        <a:p>
          <a:r>
            <a:rPr kumimoji="1" lang="en-US" altLang="ja-JP" sz="1100" b="1">
              <a:solidFill>
                <a:srgbClr val="FF0000"/>
              </a:solidFill>
            </a:rPr>
            <a:t>=SIN(2*PI()*B10/100)</a:t>
          </a:r>
        </a:p>
        <a:p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en-US" altLang="ja-JP" sz="1100" b="1">
              <a:solidFill>
                <a:srgbClr val="FF0000"/>
              </a:solidFill>
            </a:rPr>
            <a:t>【</a:t>
          </a:r>
          <a:r>
            <a:rPr kumimoji="1" lang="ja-JP" altLang="en-US" sz="1100" b="1">
              <a:solidFill>
                <a:srgbClr val="FF0000"/>
              </a:solidFill>
            </a:rPr>
            <a:t>周期ありの場合</a:t>
          </a:r>
          <a:r>
            <a:rPr kumimoji="1" lang="en-US" altLang="ja-JP" sz="1100" b="1">
              <a:solidFill>
                <a:srgbClr val="FF0000"/>
              </a:solidFill>
            </a:rPr>
            <a:t>】</a:t>
          </a:r>
        </a:p>
        <a:p>
          <a:r>
            <a:rPr kumimoji="1" lang="en-US" altLang="ja-JP" sz="1100" b="1">
              <a:solidFill>
                <a:srgbClr val="FF0000"/>
              </a:solidFill>
            </a:rPr>
            <a:t>=COS(2*PI()*B10</a:t>
          </a:r>
          <a:r>
            <a:rPr kumimoji="1" lang="en-US" altLang="ja-JP" sz="1100" b="1">
              <a:solidFill>
                <a:srgbClr val="0070C0"/>
              </a:solidFill>
            </a:rPr>
            <a:t>*$G$9</a:t>
          </a:r>
          <a:r>
            <a:rPr kumimoji="1" lang="en-US" altLang="ja-JP" sz="1100" b="1">
              <a:solidFill>
                <a:srgbClr val="FF0000"/>
              </a:solidFill>
            </a:rPr>
            <a:t>/100)</a:t>
          </a:r>
        </a:p>
        <a:p>
          <a:r>
            <a:rPr kumimoji="1" lang="en-US" altLang="ja-JP" sz="1100" b="1">
              <a:solidFill>
                <a:srgbClr val="FF0000"/>
              </a:solidFill>
            </a:rPr>
            <a:t>=SIN(2*PI()*B10</a:t>
          </a:r>
          <a:r>
            <a:rPr kumimoji="1" lang="en-US" altLang="ja-JP" sz="1100" b="1">
              <a:solidFill>
                <a:srgbClr val="0070C0"/>
              </a:solidFill>
            </a:rPr>
            <a:t>*$G$9</a:t>
          </a:r>
          <a:r>
            <a:rPr kumimoji="1" lang="en-US" altLang="ja-JP" sz="1100" b="1">
              <a:solidFill>
                <a:srgbClr val="FF0000"/>
              </a:solidFill>
            </a:rPr>
            <a:t>/100)</a:t>
          </a:r>
        </a:p>
        <a:p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617220</xdr:colOff>
      <xdr:row>8</xdr:row>
      <xdr:rowOff>213360</xdr:rowOff>
    </xdr:from>
    <xdr:to>
      <xdr:col>4</xdr:col>
      <xdr:colOff>30480</xdr:colOff>
      <xdr:row>10</xdr:row>
      <xdr:rowOff>38100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9AFB2E8-D8C2-4801-A738-1FA7B6253ABF}"/>
            </a:ext>
          </a:extLst>
        </xdr:cNvPr>
        <xdr:cNvSpPr/>
      </xdr:nvSpPr>
      <xdr:spPr>
        <a:xfrm>
          <a:off x="1287780" y="2049780"/>
          <a:ext cx="1424940" cy="2895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407670</xdr:colOff>
      <xdr:row>6</xdr:row>
      <xdr:rowOff>22860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5ED4508-46E5-47DD-9688-D5D961F1CFF5}"/>
            </a:ext>
          </a:extLst>
        </xdr:cNvPr>
        <xdr:cNvSpPr/>
      </xdr:nvSpPr>
      <xdr:spPr>
        <a:xfrm>
          <a:off x="670560" y="228600"/>
          <a:ext cx="644271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99060</xdr:colOff>
      <xdr:row>1</xdr:row>
      <xdr:rowOff>60960</xdr:rowOff>
    </xdr:from>
    <xdr:to>
      <xdr:col>10</xdr:col>
      <xdr:colOff>259080</xdr:colOff>
      <xdr:row>5</xdr:row>
      <xdr:rowOff>198120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A16F83C-6F4E-4A38-8503-73DD88014E56}"/>
            </a:ext>
          </a:extLst>
        </xdr:cNvPr>
        <xdr:cNvSpPr txBox="1"/>
      </xdr:nvSpPr>
      <xdr:spPr>
        <a:xfrm>
          <a:off x="769620" y="289560"/>
          <a:ext cx="619506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演習問題２</a:t>
          </a:r>
          <a:endParaRPr kumimoji="1" lang="en-US" altLang="ja-JP" sz="1100" b="1"/>
        </a:p>
        <a:p>
          <a:r>
            <a:rPr kumimoji="1" lang="ja-JP" altLang="en-US" sz="1100"/>
            <a:t>（１）アルキメデス螺旋を描いてみましょう。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（２）ベルヌーイ螺旋を描いてみましょう。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407670</xdr:colOff>
      <xdr:row>6</xdr:row>
      <xdr:rowOff>22860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0E6D5C7-EB63-47CF-B219-0B80E62D4106}"/>
            </a:ext>
          </a:extLst>
        </xdr:cNvPr>
        <xdr:cNvSpPr/>
      </xdr:nvSpPr>
      <xdr:spPr>
        <a:xfrm>
          <a:off x="670560" y="228600"/>
          <a:ext cx="644271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99060</xdr:colOff>
      <xdr:row>1</xdr:row>
      <xdr:rowOff>60960</xdr:rowOff>
    </xdr:from>
    <xdr:to>
      <xdr:col>10</xdr:col>
      <xdr:colOff>259080</xdr:colOff>
      <xdr:row>5</xdr:row>
      <xdr:rowOff>198120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AEDD287-DB3D-4EE7-93C9-3CFA0F7E596A}"/>
            </a:ext>
          </a:extLst>
        </xdr:cNvPr>
        <xdr:cNvSpPr txBox="1"/>
      </xdr:nvSpPr>
      <xdr:spPr>
        <a:xfrm>
          <a:off x="769620" y="289560"/>
          <a:ext cx="619506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演習問題２</a:t>
          </a:r>
          <a:endParaRPr kumimoji="1" lang="en-US" altLang="ja-JP" sz="1100" b="1"/>
        </a:p>
        <a:p>
          <a:r>
            <a:rPr kumimoji="1" lang="ja-JP" altLang="en-US" sz="1100"/>
            <a:t>（１）アルキメデス螺旋を描いてみましょう。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（２）ベルヌーイ螺旋を描いてみましょう。</a:t>
          </a:r>
        </a:p>
      </xdr:txBody>
    </xdr:sp>
    <xdr:clientData/>
  </xdr:twoCellAnchor>
  <xdr:twoCellAnchor>
    <xdr:from>
      <xdr:col>5</xdr:col>
      <xdr:colOff>152400</xdr:colOff>
      <xdr:row>8</xdr:row>
      <xdr:rowOff>212090</xdr:rowOff>
    </xdr:from>
    <xdr:to>
      <xdr:col>6</xdr:col>
      <xdr:colOff>589280</xdr:colOff>
      <xdr:row>10</xdr:row>
      <xdr:rowOff>38100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E9D6A375-EDDE-48F5-A1A1-F8275D9B9E63}"/>
            </a:ext>
          </a:extLst>
        </xdr:cNvPr>
        <xdr:cNvSpPr txBox="1"/>
      </xdr:nvSpPr>
      <xdr:spPr>
        <a:xfrm>
          <a:off x="3467100" y="2048510"/>
          <a:ext cx="1099820" cy="2908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下までコピー</a:t>
          </a:r>
        </a:p>
      </xdr:txBody>
    </xdr:sp>
    <xdr:clientData/>
  </xdr:twoCellAnchor>
  <xdr:twoCellAnchor>
    <xdr:from>
      <xdr:col>1</xdr:col>
      <xdr:colOff>594360</xdr:colOff>
      <xdr:row>8</xdr:row>
      <xdr:rowOff>198120</xdr:rowOff>
    </xdr:from>
    <xdr:to>
      <xdr:col>5</xdr:col>
      <xdr:colOff>30480</xdr:colOff>
      <xdr:row>10</xdr:row>
      <xdr:rowOff>53340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0269E71-BF80-4F6A-B6BC-3F4FE569FF9D}"/>
            </a:ext>
          </a:extLst>
        </xdr:cNvPr>
        <xdr:cNvSpPr/>
      </xdr:nvSpPr>
      <xdr:spPr>
        <a:xfrm>
          <a:off x="1264920" y="2034540"/>
          <a:ext cx="2118360" cy="32004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609600</xdr:colOff>
      <xdr:row>8</xdr:row>
      <xdr:rowOff>190500</xdr:rowOff>
    </xdr:from>
    <xdr:to>
      <xdr:col>11</xdr:col>
      <xdr:colOff>45720</xdr:colOff>
      <xdr:row>10</xdr:row>
      <xdr:rowOff>45720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41FC4C9-7A8C-4BB0-B054-6F4B3906553A}"/>
            </a:ext>
          </a:extLst>
        </xdr:cNvPr>
        <xdr:cNvSpPr/>
      </xdr:nvSpPr>
      <xdr:spPr>
        <a:xfrm>
          <a:off x="5303520" y="2026920"/>
          <a:ext cx="2118360" cy="32004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666750</xdr:colOff>
      <xdr:row>7</xdr:row>
      <xdr:rowOff>7620</xdr:rowOff>
    </xdr:from>
    <xdr:to>
      <xdr:col>17</xdr:col>
      <xdr:colOff>243390</xdr:colOff>
      <xdr:row>22</xdr:row>
      <xdr:rowOff>163380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CA6FC11-E72F-4493-8305-A8CAFE52F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</xdr:colOff>
      <xdr:row>24</xdr:row>
      <xdr:rowOff>7620</xdr:rowOff>
    </xdr:from>
    <xdr:to>
      <xdr:col>17</xdr:col>
      <xdr:colOff>251010</xdr:colOff>
      <xdr:row>39</xdr:row>
      <xdr:rowOff>178620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7160EDE3-7173-48E9-96B3-670BBF525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</xdr:row>
      <xdr:rowOff>30480</xdr:rowOff>
    </xdr:from>
    <xdr:to>
      <xdr:col>10</xdr:col>
      <xdr:colOff>430530</xdr:colOff>
      <xdr:row>6</xdr:row>
      <xdr:rowOff>53340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ED98178-6942-4578-8312-882B5076108D}"/>
            </a:ext>
          </a:extLst>
        </xdr:cNvPr>
        <xdr:cNvSpPr/>
      </xdr:nvSpPr>
      <xdr:spPr>
        <a:xfrm>
          <a:off x="693420" y="259080"/>
          <a:ext cx="644271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99060</xdr:colOff>
      <xdr:row>1</xdr:row>
      <xdr:rowOff>60960</xdr:rowOff>
    </xdr:from>
    <xdr:to>
      <xdr:col>10</xdr:col>
      <xdr:colOff>259080</xdr:colOff>
      <xdr:row>5</xdr:row>
      <xdr:rowOff>198120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226898D-7575-43B1-840F-0036B4A5D7B8}"/>
            </a:ext>
          </a:extLst>
        </xdr:cNvPr>
        <xdr:cNvSpPr txBox="1"/>
      </xdr:nvSpPr>
      <xdr:spPr>
        <a:xfrm>
          <a:off x="769620" y="289560"/>
          <a:ext cx="619506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演習問題３</a:t>
          </a:r>
          <a:endParaRPr kumimoji="1" lang="en-US" altLang="ja-JP" sz="1100" b="1"/>
        </a:p>
        <a:p>
          <a:r>
            <a:rPr kumimoji="1" lang="ja-JP" altLang="en-US" sz="1100"/>
            <a:t>（１）ハイポサイクロイドを調節してさまざまな曲線を描いてみよう。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</a:t>
          </a:r>
          <a:r>
            <a:rPr kumimoji="1" lang="en-US" altLang="ja-JP" sz="1100"/>
            <a:t>r=1,</a:t>
          </a:r>
          <a:r>
            <a:rPr kumimoji="1" lang="en-US" altLang="ja-JP" sz="1100" baseline="0"/>
            <a:t> R=2</a:t>
          </a:r>
          <a:r>
            <a:rPr kumimoji="1" lang="ja-JP" altLang="en-US" sz="1100" baseline="0"/>
            <a:t>の場合を描いてみよう。</a:t>
          </a:r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</xdr:row>
      <xdr:rowOff>30480</xdr:rowOff>
    </xdr:from>
    <xdr:to>
      <xdr:col>10</xdr:col>
      <xdr:colOff>430530</xdr:colOff>
      <xdr:row>6</xdr:row>
      <xdr:rowOff>53340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A57D252-34CF-46DC-A3F9-5E0656479A07}"/>
            </a:ext>
          </a:extLst>
        </xdr:cNvPr>
        <xdr:cNvSpPr/>
      </xdr:nvSpPr>
      <xdr:spPr>
        <a:xfrm>
          <a:off x="693420" y="259080"/>
          <a:ext cx="717423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99060</xdr:colOff>
      <xdr:row>1</xdr:row>
      <xdr:rowOff>60960</xdr:rowOff>
    </xdr:from>
    <xdr:to>
      <xdr:col>10</xdr:col>
      <xdr:colOff>259080</xdr:colOff>
      <xdr:row>5</xdr:row>
      <xdr:rowOff>198120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70600D9-53BA-4716-AA38-698F3CFE21F3}"/>
            </a:ext>
          </a:extLst>
        </xdr:cNvPr>
        <xdr:cNvSpPr txBox="1"/>
      </xdr:nvSpPr>
      <xdr:spPr>
        <a:xfrm>
          <a:off x="769620" y="289560"/>
          <a:ext cx="6926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演習問題３</a:t>
          </a:r>
          <a:endParaRPr kumimoji="1" lang="en-US" altLang="ja-JP" sz="1100" b="1"/>
        </a:p>
        <a:p>
          <a:r>
            <a:rPr kumimoji="1" lang="ja-JP" altLang="en-US" sz="1100"/>
            <a:t>（１）ハイポサイクロイドを調節してさまざまな曲線を描いてみよう。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</a:t>
          </a:r>
          <a:r>
            <a:rPr kumimoji="1" lang="en-US" altLang="ja-JP" sz="1100"/>
            <a:t>r=1,</a:t>
          </a:r>
          <a:r>
            <a:rPr kumimoji="1" lang="en-US" altLang="ja-JP" sz="1100" baseline="0"/>
            <a:t> R=2</a:t>
          </a:r>
          <a:r>
            <a:rPr kumimoji="1" lang="ja-JP" altLang="en-US" sz="1100" baseline="0"/>
            <a:t>の場合を描いてみよう。</a:t>
          </a:r>
          <a:endParaRPr kumimoji="1" lang="ja-JP" altLang="en-US" sz="1100"/>
        </a:p>
      </xdr:txBody>
    </xdr:sp>
    <xdr:clientData/>
  </xdr:twoCellAnchor>
  <xdr:twoCellAnchor>
    <xdr:from>
      <xdr:col>6</xdr:col>
      <xdr:colOff>666750</xdr:colOff>
      <xdr:row>12</xdr:row>
      <xdr:rowOff>220980</xdr:rowOff>
    </xdr:from>
    <xdr:to>
      <xdr:col>11</xdr:col>
      <xdr:colOff>182430</xdr:colOff>
      <xdr:row>28</xdr:row>
      <xdr:rowOff>163380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F746693-6491-4D86-AE55-5F1FD62AE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666750</xdr:colOff>
      <xdr:row>12</xdr:row>
      <xdr:rowOff>220980</xdr:rowOff>
    </xdr:from>
    <xdr:to>
      <xdr:col>17</xdr:col>
      <xdr:colOff>243390</xdr:colOff>
      <xdr:row>28</xdr:row>
      <xdr:rowOff>163380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B3423C0-FC0E-4842-B773-A12657F56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407670</xdr:colOff>
      <xdr:row>6</xdr:row>
      <xdr:rowOff>22860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6993066-2CC2-4FC0-AD05-E6A77CEED333}"/>
            </a:ext>
          </a:extLst>
        </xdr:cNvPr>
        <xdr:cNvSpPr/>
      </xdr:nvSpPr>
      <xdr:spPr>
        <a:xfrm>
          <a:off x="670560" y="228600"/>
          <a:ext cx="644271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99060</xdr:colOff>
      <xdr:row>1</xdr:row>
      <xdr:rowOff>60960</xdr:rowOff>
    </xdr:from>
    <xdr:to>
      <xdr:col>10</xdr:col>
      <xdr:colOff>259080</xdr:colOff>
      <xdr:row>5</xdr:row>
      <xdr:rowOff>198120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61F0C01-0614-48CE-93F9-7B913F6768AF}"/>
            </a:ext>
          </a:extLst>
        </xdr:cNvPr>
        <xdr:cNvSpPr txBox="1"/>
      </xdr:nvSpPr>
      <xdr:spPr>
        <a:xfrm>
          <a:off x="769620" y="289560"/>
          <a:ext cx="619506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演習問題４</a:t>
          </a:r>
          <a:endParaRPr kumimoji="1" lang="en-US" altLang="ja-JP" sz="1100" b="1"/>
        </a:p>
        <a:p>
          <a:r>
            <a:rPr kumimoji="1" lang="ja-JP" altLang="en-US" sz="1100"/>
            <a:t>（１）周期</a:t>
          </a:r>
          <a:r>
            <a:rPr kumimoji="1" lang="en-US" altLang="ja-JP" sz="1100"/>
            <a:t>(3,2)</a:t>
          </a:r>
          <a:r>
            <a:rPr kumimoji="1" lang="ja-JP" altLang="en-US" sz="1100"/>
            <a:t>のリサージュ曲線を描いてみよう。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（２）周期を入れて糸掛けを行いましょう。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407670</xdr:colOff>
      <xdr:row>6</xdr:row>
      <xdr:rowOff>22860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722F1D7-8CA1-4B5D-AB2C-26ABA627BBF4}"/>
            </a:ext>
          </a:extLst>
        </xdr:cNvPr>
        <xdr:cNvSpPr/>
      </xdr:nvSpPr>
      <xdr:spPr>
        <a:xfrm>
          <a:off x="670560" y="228600"/>
          <a:ext cx="644271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99060</xdr:colOff>
      <xdr:row>1</xdr:row>
      <xdr:rowOff>60960</xdr:rowOff>
    </xdr:from>
    <xdr:to>
      <xdr:col>10</xdr:col>
      <xdr:colOff>259080</xdr:colOff>
      <xdr:row>5</xdr:row>
      <xdr:rowOff>198120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D937054-8E7E-45A5-9CA2-86BAADD32630}"/>
            </a:ext>
          </a:extLst>
        </xdr:cNvPr>
        <xdr:cNvSpPr txBox="1"/>
      </xdr:nvSpPr>
      <xdr:spPr>
        <a:xfrm>
          <a:off x="769620" y="289560"/>
          <a:ext cx="619506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演習問題４</a:t>
          </a:r>
          <a:endParaRPr kumimoji="1" lang="en-US" altLang="ja-JP" sz="1100" b="1"/>
        </a:p>
        <a:p>
          <a:r>
            <a:rPr kumimoji="1" lang="ja-JP" altLang="en-US" sz="1100"/>
            <a:t>（１）周期</a:t>
          </a:r>
          <a:r>
            <a:rPr kumimoji="1" lang="en-US" altLang="ja-JP" sz="1100"/>
            <a:t>(3,2)</a:t>
          </a:r>
          <a:r>
            <a:rPr kumimoji="1" lang="ja-JP" altLang="en-US" sz="1100"/>
            <a:t>のリサージュ曲線を描いてみよう。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（２）周期を入れて糸掛けを行いましょう。</a:t>
          </a:r>
        </a:p>
      </xdr:txBody>
    </xdr:sp>
    <xdr:clientData/>
  </xdr:twoCellAnchor>
  <xdr:twoCellAnchor>
    <xdr:from>
      <xdr:col>7</xdr:col>
      <xdr:colOff>106680</xdr:colOff>
      <xdr:row>9</xdr:row>
      <xdr:rowOff>182880</xdr:rowOff>
    </xdr:from>
    <xdr:to>
      <xdr:col>10</xdr:col>
      <xdr:colOff>304800</xdr:colOff>
      <xdr:row>11</xdr:row>
      <xdr:rowOff>38100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3FAD0E54-B12F-44A2-89CE-272CCF5C3A1A}"/>
            </a:ext>
          </a:extLst>
        </xdr:cNvPr>
        <xdr:cNvSpPr txBox="1"/>
      </xdr:nvSpPr>
      <xdr:spPr>
        <a:xfrm>
          <a:off x="4800600" y="2255520"/>
          <a:ext cx="2209800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←最初は周期「１」としておく</a:t>
          </a:r>
        </a:p>
      </xdr:txBody>
    </xdr:sp>
    <xdr:clientData/>
  </xdr:twoCellAnchor>
  <xdr:twoCellAnchor>
    <xdr:from>
      <xdr:col>7</xdr:col>
      <xdr:colOff>666750</xdr:colOff>
      <xdr:row>12</xdr:row>
      <xdr:rowOff>0</xdr:rowOff>
    </xdr:from>
    <xdr:to>
      <xdr:col>13</xdr:col>
      <xdr:colOff>243390</xdr:colOff>
      <xdr:row>27</xdr:row>
      <xdr:rowOff>171000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C9A5C388-DB7B-4E6A-981F-920AD69B2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83820</xdr:colOff>
      <xdr:row>11</xdr:row>
      <xdr:rowOff>106680</xdr:rowOff>
    </xdr:from>
    <xdr:to>
      <xdr:col>7</xdr:col>
      <xdr:colOff>579120</xdr:colOff>
      <xdr:row>18</xdr:row>
      <xdr:rowOff>220980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7C4B7235-107A-4CB4-A2A5-77F7F1D91045}"/>
            </a:ext>
          </a:extLst>
        </xdr:cNvPr>
        <xdr:cNvSpPr/>
      </xdr:nvSpPr>
      <xdr:spPr>
        <a:xfrm>
          <a:off x="2766060" y="2651760"/>
          <a:ext cx="2506980" cy="1714500"/>
        </a:xfrm>
        <a:prstGeom prst="wedgeRectCallout">
          <a:avLst>
            <a:gd name="adj1" fmla="val -59105"/>
            <a:gd name="adj2" fmla="val -70833"/>
          </a:avLst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129540</xdr:colOff>
      <xdr:row>12</xdr:row>
      <xdr:rowOff>0</xdr:rowOff>
    </xdr:from>
    <xdr:to>
      <xdr:col>7</xdr:col>
      <xdr:colOff>556260</xdr:colOff>
      <xdr:row>18</xdr:row>
      <xdr:rowOff>129540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E5234F65-6A2F-4691-8262-2BF370EFB197}"/>
            </a:ext>
          </a:extLst>
        </xdr:cNvPr>
        <xdr:cNvSpPr txBox="1"/>
      </xdr:nvSpPr>
      <xdr:spPr>
        <a:xfrm>
          <a:off x="2811780" y="2773680"/>
          <a:ext cx="2438400" cy="15011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="1">
              <a:solidFill>
                <a:srgbClr val="FF0000"/>
              </a:solidFill>
            </a:rPr>
            <a:t>【</a:t>
          </a:r>
          <a:r>
            <a:rPr kumimoji="1" lang="ja-JP" altLang="en-US" sz="1100" b="1">
              <a:solidFill>
                <a:srgbClr val="FF0000"/>
              </a:solidFill>
            </a:rPr>
            <a:t>周期なしの場合</a:t>
          </a:r>
          <a:r>
            <a:rPr kumimoji="1" lang="en-US" altLang="ja-JP" sz="1100" b="1">
              <a:solidFill>
                <a:srgbClr val="FF0000"/>
              </a:solidFill>
            </a:rPr>
            <a:t>】</a:t>
          </a:r>
        </a:p>
        <a:p>
          <a:r>
            <a:rPr kumimoji="1" lang="en-US" altLang="ja-JP" sz="1100" b="1">
              <a:solidFill>
                <a:srgbClr val="FF0000"/>
              </a:solidFill>
            </a:rPr>
            <a:t>=COS(2*PI()*B10</a:t>
          </a:r>
          <a:r>
            <a:rPr kumimoji="1" lang="en-US" altLang="ja-JP" sz="1100" b="1">
              <a:solidFill>
                <a:srgbClr val="00B050"/>
              </a:solidFill>
            </a:rPr>
            <a:t>*$G$9</a:t>
          </a:r>
          <a:r>
            <a:rPr kumimoji="1" lang="en-US" altLang="ja-JP" sz="1100" b="1">
              <a:solidFill>
                <a:srgbClr val="FF0000"/>
              </a:solidFill>
            </a:rPr>
            <a:t>/100)</a:t>
          </a:r>
        </a:p>
        <a:p>
          <a:r>
            <a:rPr kumimoji="1" lang="en-US" altLang="ja-JP" sz="1100" b="1">
              <a:solidFill>
                <a:srgbClr val="FF0000"/>
              </a:solidFill>
            </a:rPr>
            <a:t>=SIN(2*PI()*B10</a:t>
          </a:r>
          <a:r>
            <a:rPr kumimoji="1" lang="en-US" altLang="ja-JP" sz="1100" b="1">
              <a:solidFill>
                <a:srgbClr val="00B050"/>
              </a:solidFill>
            </a:rPr>
            <a:t>*$G$10</a:t>
          </a:r>
          <a:r>
            <a:rPr kumimoji="1" lang="en-US" altLang="ja-JP" sz="1100" b="1">
              <a:solidFill>
                <a:srgbClr val="FF0000"/>
              </a:solidFill>
            </a:rPr>
            <a:t>/100)</a:t>
          </a:r>
        </a:p>
        <a:p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en-US" altLang="ja-JP" sz="1100" b="1">
              <a:solidFill>
                <a:srgbClr val="FF0000"/>
              </a:solidFill>
            </a:rPr>
            <a:t>【</a:t>
          </a:r>
          <a:r>
            <a:rPr kumimoji="1" lang="ja-JP" altLang="en-US" sz="1100" b="1">
              <a:solidFill>
                <a:srgbClr val="FF0000"/>
              </a:solidFill>
            </a:rPr>
            <a:t>周期ありの場合</a:t>
          </a:r>
          <a:r>
            <a:rPr kumimoji="1" lang="en-US" altLang="ja-JP" sz="1100" b="1">
              <a:solidFill>
                <a:srgbClr val="FF0000"/>
              </a:solidFill>
            </a:rPr>
            <a:t>】</a:t>
          </a:r>
        </a:p>
        <a:p>
          <a:r>
            <a:rPr kumimoji="1" lang="en-US" altLang="ja-JP" sz="1100" b="1">
              <a:solidFill>
                <a:srgbClr val="FF0000"/>
              </a:solidFill>
            </a:rPr>
            <a:t>=COS(2*PI()*B10</a:t>
          </a:r>
          <a:r>
            <a:rPr kumimoji="1" lang="en-US" altLang="ja-JP" sz="1100" b="1">
              <a:solidFill>
                <a:srgbClr val="00B050"/>
              </a:solidFill>
            </a:rPr>
            <a:t>*$G$9</a:t>
          </a:r>
          <a:r>
            <a:rPr kumimoji="1" lang="en-US" altLang="ja-JP" sz="1100" b="1">
              <a:solidFill>
                <a:srgbClr val="0070C0"/>
              </a:solidFill>
            </a:rPr>
            <a:t>*$G$11</a:t>
          </a:r>
          <a:r>
            <a:rPr kumimoji="1" lang="en-US" altLang="ja-JP" sz="1100" b="1">
              <a:solidFill>
                <a:srgbClr val="FF0000"/>
              </a:solidFill>
            </a:rPr>
            <a:t>/100)</a:t>
          </a:r>
        </a:p>
        <a:p>
          <a:r>
            <a:rPr kumimoji="1" lang="en-US" altLang="ja-JP" sz="1100" b="1">
              <a:solidFill>
                <a:srgbClr val="FF0000"/>
              </a:solidFill>
            </a:rPr>
            <a:t>=SIN(2*PI()*B10</a:t>
          </a:r>
          <a:r>
            <a:rPr kumimoji="1" lang="en-US" altLang="ja-JP" sz="1100" b="1">
              <a:solidFill>
                <a:srgbClr val="00B050"/>
              </a:solidFill>
            </a:rPr>
            <a:t>*$G$10</a:t>
          </a:r>
          <a:r>
            <a:rPr kumimoji="1" lang="en-US" altLang="ja-JP" sz="1100" b="1">
              <a:solidFill>
                <a:srgbClr val="0070C0"/>
              </a:solidFill>
            </a:rPr>
            <a:t>*$G$11</a:t>
          </a:r>
          <a:r>
            <a:rPr kumimoji="1" lang="en-US" altLang="ja-JP" sz="1100" b="1">
              <a:solidFill>
                <a:srgbClr val="FF0000"/>
              </a:solidFill>
            </a:rPr>
            <a:t>/100)</a:t>
          </a:r>
        </a:p>
        <a:p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624840</xdr:colOff>
      <xdr:row>8</xdr:row>
      <xdr:rowOff>213360</xdr:rowOff>
    </xdr:from>
    <xdr:to>
      <xdr:col>4</xdr:col>
      <xdr:colOff>38100</xdr:colOff>
      <xdr:row>10</xdr:row>
      <xdr:rowOff>30480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5C4BE8D-5DCD-4F7C-A9BD-FA7D2CCDEEF9}"/>
            </a:ext>
          </a:extLst>
        </xdr:cNvPr>
        <xdr:cNvSpPr/>
      </xdr:nvSpPr>
      <xdr:spPr>
        <a:xfrm>
          <a:off x="1295400" y="2049780"/>
          <a:ext cx="1424940" cy="2895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647700</xdr:colOff>
      <xdr:row>8</xdr:row>
      <xdr:rowOff>7620</xdr:rowOff>
    </xdr:from>
    <xdr:to>
      <xdr:col>6</xdr:col>
      <xdr:colOff>662940</xdr:colOff>
      <xdr:row>9</xdr:row>
      <xdr:rowOff>205740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605C28C-1351-4DC2-BB6E-ACEA30931D33}"/>
            </a:ext>
          </a:extLst>
        </xdr:cNvPr>
        <xdr:cNvSpPr/>
      </xdr:nvSpPr>
      <xdr:spPr>
        <a:xfrm>
          <a:off x="4000500" y="1844040"/>
          <a:ext cx="685800" cy="434340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647700</xdr:colOff>
      <xdr:row>10</xdr:row>
      <xdr:rowOff>15240</xdr:rowOff>
    </xdr:from>
    <xdr:to>
      <xdr:col>6</xdr:col>
      <xdr:colOff>662940</xdr:colOff>
      <xdr:row>11</xdr:row>
      <xdr:rowOff>7620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6F91A04-B3F6-4641-81DA-5512F929B7CA}"/>
            </a:ext>
          </a:extLst>
        </xdr:cNvPr>
        <xdr:cNvSpPr/>
      </xdr:nvSpPr>
      <xdr:spPr>
        <a:xfrm>
          <a:off x="4000500" y="2324100"/>
          <a:ext cx="685800" cy="228600"/>
        </a:xfrm>
        <a:prstGeom prst="rect">
          <a:avLst/>
        </a:prstGeom>
        <a:noFill/>
        <a:ln w="381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407670</xdr:colOff>
      <xdr:row>6</xdr:row>
      <xdr:rowOff>22860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24034AE-967B-4DAC-943B-BF03B8B28288}"/>
            </a:ext>
          </a:extLst>
        </xdr:cNvPr>
        <xdr:cNvSpPr/>
      </xdr:nvSpPr>
      <xdr:spPr>
        <a:xfrm>
          <a:off x="670560" y="228600"/>
          <a:ext cx="644271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99060</xdr:colOff>
      <xdr:row>1</xdr:row>
      <xdr:rowOff>60960</xdr:rowOff>
    </xdr:from>
    <xdr:to>
      <xdr:col>10</xdr:col>
      <xdr:colOff>259080</xdr:colOff>
      <xdr:row>5</xdr:row>
      <xdr:rowOff>198120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11EF736-135A-46B3-93A7-CD22DB26FD5B}"/>
            </a:ext>
          </a:extLst>
        </xdr:cNvPr>
        <xdr:cNvSpPr txBox="1"/>
      </xdr:nvSpPr>
      <xdr:spPr>
        <a:xfrm>
          <a:off x="769620" y="289560"/>
          <a:ext cx="619506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付録（ハイポサイクロイド＋トロコイド＋リサージュ＋周期）</a:t>
          </a:r>
          <a:endParaRPr kumimoji="1" lang="en-US" altLang="ja-JP" sz="1100" b="1"/>
        </a:p>
        <a:p>
          <a:endParaRPr kumimoji="1" lang="en-US" altLang="ja-JP" sz="1100"/>
        </a:p>
        <a:p>
          <a:r>
            <a:rPr kumimoji="1" lang="ja-JP" altLang="en-US" sz="1100"/>
            <a:t>パラメータを調節して形を変えてみましょう。</a:t>
          </a:r>
        </a:p>
      </xdr:txBody>
    </xdr:sp>
    <xdr:clientData/>
  </xdr:twoCellAnchor>
  <xdr:twoCellAnchor>
    <xdr:from>
      <xdr:col>4</xdr:col>
      <xdr:colOff>666750</xdr:colOff>
      <xdr:row>11</xdr:row>
      <xdr:rowOff>0</xdr:rowOff>
    </xdr:from>
    <xdr:to>
      <xdr:col>10</xdr:col>
      <xdr:colOff>243390</xdr:colOff>
      <xdr:row>26</xdr:row>
      <xdr:rowOff>171000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F2B17E5-C31A-4312-A356-7917841C8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F9B0-1B5B-45BA-9BFC-83282A301E79}">
  <dimension ref="B8:G110"/>
  <sheetViews>
    <sheetView tabSelected="1" workbookViewId="0">
      <selection activeCell="B9" sqref="B9"/>
    </sheetView>
  </sheetViews>
  <sheetFormatPr defaultRowHeight="18" x14ac:dyDescent="0.55000000000000004"/>
  <sheetData>
    <row r="8" spans="2:7" ht="18.5" thickBot="1" x14ac:dyDescent="0.6"/>
    <row r="9" spans="2:7" ht="18.5" thickBot="1" x14ac:dyDescent="0.6">
      <c r="B9" s="6" t="s">
        <v>0</v>
      </c>
      <c r="C9" s="8" t="s">
        <v>1</v>
      </c>
      <c r="D9" s="7" t="s">
        <v>2</v>
      </c>
      <c r="F9" s="11" t="s">
        <v>3</v>
      </c>
      <c r="G9" s="5"/>
    </row>
    <row r="10" spans="2:7" x14ac:dyDescent="0.55000000000000004">
      <c r="B10" s="1">
        <v>0</v>
      </c>
      <c r="C10" s="9"/>
      <c r="D10" s="2"/>
    </row>
    <row r="11" spans="2:7" x14ac:dyDescent="0.55000000000000004">
      <c r="B11" s="1">
        <v>1</v>
      </c>
      <c r="C11" s="9"/>
      <c r="D11" s="2"/>
    </row>
    <row r="12" spans="2:7" x14ac:dyDescent="0.55000000000000004">
      <c r="B12" s="1">
        <v>2</v>
      </c>
      <c r="C12" s="9"/>
      <c r="D12" s="2"/>
    </row>
    <row r="13" spans="2:7" x14ac:dyDescent="0.55000000000000004">
      <c r="B13" s="1">
        <v>3</v>
      </c>
      <c r="C13" s="9"/>
      <c r="D13" s="2"/>
    </row>
    <row r="14" spans="2:7" x14ac:dyDescent="0.55000000000000004">
      <c r="B14" s="1">
        <v>4</v>
      </c>
      <c r="C14" s="9"/>
      <c r="D14" s="2"/>
    </row>
    <row r="15" spans="2:7" x14ac:dyDescent="0.55000000000000004">
      <c r="B15" s="1">
        <v>5</v>
      </c>
      <c r="C15" s="9"/>
      <c r="D15" s="2"/>
    </row>
    <row r="16" spans="2:7" x14ac:dyDescent="0.55000000000000004">
      <c r="B16" s="1">
        <v>6</v>
      </c>
      <c r="C16" s="9"/>
      <c r="D16" s="2"/>
    </row>
    <row r="17" spans="2:4" x14ac:dyDescent="0.55000000000000004">
      <c r="B17" s="1">
        <v>7</v>
      </c>
      <c r="C17" s="9"/>
      <c r="D17" s="2"/>
    </row>
    <row r="18" spans="2:4" x14ac:dyDescent="0.55000000000000004">
      <c r="B18" s="1">
        <v>8</v>
      </c>
      <c r="C18" s="9"/>
      <c r="D18" s="2"/>
    </row>
    <row r="19" spans="2:4" x14ac:dyDescent="0.55000000000000004">
      <c r="B19" s="1">
        <v>9</v>
      </c>
      <c r="C19" s="9"/>
      <c r="D19" s="2"/>
    </row>
    <row r="20" spans="2:4" x14ac:dyDescent="0.55000000000000004">
      <c r="B20" s="1">
        <v>10</v>
      </c>
      <c r="C20" s="9"/>
      <c r="D20" s="2"/>
    </row>
    <row r="21" spans="2:4" x14ac:dyDescent="0.55000000000000004">
      <c r="B21" s="1">
        <v>11</v>
      </c>
      <c r="C21" s="9"/>
      <c r="D21" s="2"/>
    </row>
    <row r="22" spans="2:4" x14ac:dyDescent="0.55000000000000004">
      <c r="B22" s="1">
        <v>12</v>
      </c>
      <c r="C22" s="9"/>
      <c r="D22" s="2"/>
    </row>
    <row r="23" spans="2:4" x14ac:dyDescent="0.55000000000000004">
      <c r="B23" s="1">
        <v>13</v>
      </c>
      <c r="C23" s="9"/>
      <c r="D23" s="2"/>
    </row>
    <row r="24" spans="2:4" x14ac:dyDescent="0.55000000000000004">
      <c r="B24" s="1">
        <v>14</v>
      </c>
      <c r="C24" s="9"/>
      <c r="D24" s="2"/>
    </row>
    <row r="25" spans="2:4" x14ac:dyDescent="0.55000000000000004">
      <c r="B25" s="1">
        <v>15</v>
      </c>
      <c r="C25" s="9"/>
      <c r="D25" s="2"/>
    </row>
    <row r="26" spans="2:4" x14ac:dyDescent="0.55000000000000004">
      <c r="B26" s="1">
        <v>16</v>
      </c>
      <c r="C26" s="9"/>
      <c r="D26" s="2"/>
    </row>
    <row r="27" spans="2:4" x14ac:dyDescent="0.55000000000000004">
      <c r="B27" s="1">
        <v>17</v>
      </c>
      <c r="C27" s="9"/>
      <c r="D27" s="2"/>
    </row>
    <row r="28" spans="2:4" x14ac:dyDescent="0.55000000000000004">
      <c r="B28" s="1">
        <v>18</v>
      </c>
      <c r="C28" s="9"/>
      <c r="D28" s="2"/>
    </row>
    <row r="29" spans="2:4" x14ac:dyDescent="0.55000000000000004">
      <c r="B29" s="1">
        <v>19</v>
      </c>
      <c r="C29" s="9"/>
      <c r="D29" s="2"/>
    </row>
    <row r="30" spans="2:4" x14ac:dyDescent="0.55000000000000004">
      <c r="B30" s="1">
        <v>20</v>
      </c>
      <c r="C30" s="9"/>
      <c r="D30" s="2"/>
    </row>
    <row r="31" spans="2:4" x14ac:dyDescent="0.55000000000000004">
      <c r="B31" s="1">
        <v>21</v>
      </c>
      <c r="C31" s="9"/>
      <c r="D31" s="2"/>
    </row>
    <row r="32" spans="2:4" x14ac:dyDescent="0.55000000000000004">
      <c r="B32" s="1">
        <v>22</v>
      </c>
      <c r="C32" s="9"/>
      <c r="D32" s="2"/>
    </row>
    <row r="33" spans="2:4" x14ac:dyDescent="0.55000000000000004">
      <c r="B33" s="1">
        <v>23</v>
      </c>
      <c r="C33" s="9"/>
      <c r="D33" s="2"/>
    </row>
    <row r="34" spans="2:4" x14ac:dyDescent="0.55000000000000004">
      <c r="B34" s="1">
        <v>24</v>
      </c>
      <c r="C34" s="9"/>
      <c r="D34" s="2"/>
    </row>
    <row r="35" spans="2:4" x14ac:dyDescent="0.55000000000000004">
      <c r="B35" s="1">
        <v>25</v>
      </c>
      <c r="C35" s="9"/>
      <c r="D35" s="2"/>
    </row>
    <row r="36" spans="2:4" x14ac:dyDescent="0.55000000000000004">
      <c r="B36" s="1">
        <v>26</v>
      </c>
      <c r="C36" s="9"/>
      <c r="D36" s="2"/>
    </row>
    <row r="37" spans="2:4" x14ac:dyDescent="0.55000000000000004">
      <c r="B37" s="1">
        <v>27</v>
      </c>
      <c r="C37" s="9"/>
      <c r="D37" s="2"/>
    </row>
    <row r="38" spans="2:4" x14ac:dyDescent="0.55000000000000004">
      <c r="B38" s="1">
        <v>28</v>
      </c>
      <c r="C38" s="9"/>
      <c r="D38" s="2"/>
    </row>
    <row r="39" spans="2:4" x14ac:dyDescent="0.55000000000000004">
      <c r="B39" s="1">
        <v>29</v>
      </c>
      <c r="C39" s="9"/>
      <c r="D39" s="2"/>
    </row>
    <row r="40" spans="2:4" x14ac:dyDescent="0.55000000000000004">
      <c r="B40" s="1">
        <v>30</v>
      </c>
      <c r="C40" s="9"/>
      <c r="D40" s="2"/>
    </row>
    <row r="41" spans="2:4" x14ac:dyDescent="0.55000000000000004">
      <c r="B41" s="1">
        <v>31</v>
      </c>
      <c r="C41" s="9"/>
      <c r="D41" s="2"/>
    </row>
    <row r="42" spans="2:4" x14ac:dyDescent="0.55000000000000004">
      <c r="B42" s="1">
        <v>32</v>
      </c>
      <c r="C42" s="9"/>
      <c r="D42" s="2"/>
    </row>
    <row r="43" spans="2:4" x14ac:dyDescent="0.55000000000000004">
      <c r="B43" s="1">
        <v>33</v>
      </c>
      <c r="C43" s="9"/>
      <c r="D43" s="2"/>
    </row>
    <row r="44" spans="2:4" x14ac:dyDescent="0.55000000000000004">
      <c r="B44" s="1">
        <v>34</v>
      </c>
      <c r="C44" s="9"/>
      <c r="D44" s="2"/>
    </row>
    <row r="45" spans="2:4" x14ac:dyDescent="0.55000000000000004">
      <c r="B45" s="1">
        <v>35</v>
      </c>
      <c r="C45" s="9"/>
      <c r="D45" s="2"/>
    </row>
    <row r="46" spans="2:4" x14ac:dyDescent="0.55000000000000004">
      <c r="B46" s="1">
        <v>36</v>
      </c>
      <c r="C46" s="9"/>
      <c r="D46" s="2"/>
    </row>
    <row r="47" spans="2:4" x14ac:dyDescent="0.55000000000000004">
      <c r="B47" s="1">
        <v>37</v>
      </c>
      <c r="C47" s="9"/>
      <c r="D47" s="2"/>
    </row>
    <row r="48" spans="2:4" x14ac:dyDescent="0.55000000000000004">
      <c r="B48" s="1">
        <v>38</v>
      </c>
      <c r="C48" s="9"/>
      <c r="D48" s="2"/>
    </row>
    <row r="49" spans="2:4" x14ac:dyDescent="0.55000000000000004">
      <c r="B49" s="1">
        <v>39</v>
      </c>
      <c r="C49" s="9"/>
      <c r="D49" s="2"/>
    </row>
    <row r="50" spans="2:4" x14ac:dyDescent="0.55000000000000004">
      <c r="B50" s="1">
        <v>40</v>
      </c>
      <c r="C50" s="9"/>
      <c r="D50" s="2"/>
    </row>
    <row r="51" spans="2:4" x14ac:dyDescent="0.55000000000000004">
      <c r="B51" s="1">
        <v>41</v>
      </c>
      <c r="C51" s="9"/>
      <c r="D51" s="2"/>
    </row>
    <row r="52" spans="2:4" x14ac:dyDescent="0.55000000000000004">
      <c r="B52" s="1">
        <v>42</v>
      </c>
      <c r="C52" s="9"/>
      <c r="D52" s="2"/>
    </row>
    <row r="53" spans="2:4" x14ac:dyDescent="0.55000000000000004">
      <c r="B53" s="1">
        <v>43</v>
      </c>
      <c r="C53" s="9"/>
      <c r="D53" s="2"/>
    </row>
    <row r="54" spans="2:4" x14ac:dyDescent="0.55000000000000004">
      <c r="B54" s="1">
        <v>44</v>
      </c>
      <c r="C54" s="9"/>
      <c r="D54" s="2"/>
    </row>
    <row r="55" spans="2:4" x14ac:dyDescent="0.55000000000000004">
      <c r="B55" s="1">
        <v>45</v>
      </c>
      <c r="C55" s="9"/>
      <c r="D55" s="2"/>
    </row>
    <row r="56" spans="2:4" x14ac:dyDescent="0.55000000000000004">
      <c r="B56" s="1">
        <v>46</v>
      </c>
      <c r="C56" s="9"/>
      <c r="D56" s="2"/>
    </row>
    <row r="57" spans="2:4" x14ac:dyDescent="0.55000000000000004">
      <c r="B57" s="1">
        <v>47</v>
      </c>
      <c r="C57" s="9"/>
      <c r="D57" s="2"/>
    </row>
    <row r="58" spans="2:4" x14ac:dyDescent="0.55000000000000004">
      <c r="B58" s="1">
        <v>48</v>
      </c>
      <c r="C58" s="9"/>
      <c r="D58" s="2"/>
    </row>
    <row r="59" spans="2:4" x14ac:dyDescent="0.55000000000000004">
      <c r="B59" s="1">
        <v>49</v>
      </c>
      <c r="C59" s="9"/>
      <c r="D59" s="2"/>
    </row>
    <row r="60" spans="2:4" x14ac:dyDescent="0.55000000000000004">
      <c r="B60" s="1">
        <v>50</v>
      </c>
      <c r="C60" s="9"/>
      <c r="D60" s="2"/>
    </row>
    <row r="61" spans="2:4" x14ac:dyDescent="0.55000000000000004">
      <c r="B61" s="1">
        <v>51</v>
      </c>
      <c r="C61" s="9"/>
      <c r="D61" s="2"/>
    </row>
    <row r="62" spans="2:4" x14ac:dyDescent="0.55000000000000004">
      <c r="B62" s="1">
        <v>52</v>
      </c>
      <c r="C62" s="9"/>
      <c r="D62" s="2"/>
    </row>
    <row r="63" spans="2:4" x14ac:dyDescent="0.55000000000000004">
      <c r="B63" s="1">
        <v>53</v>
      </c>
      <c r="C63" s="9"/>
      <c r="D63" s="2"/>
    </row>
    <row r="64" spans="2:4" x14ac:dyDescent="0.55000000000000004">
      <c r="B64" s="1">
        <v>54</v>
      </c>
      <c r="C64" s="9"/>
      <c r="D64" s="2"/>
    </row>
    <row r="65" spans="2:4" x14ac:dyDescent="0.55000000000000004">
      <c r="B65" s="1">
        <v>55</v>
      </c>
      <c r="C65" s="9"/>
      <c r="D65" s="2"/>
    </row>
    <row r="66" spans="2:4" x14ac:dyDescent="0.55000000000000004">
      <c r="B66" s="1">
        <v>56</v>
      </c>
      <c r="C66" s="9"/>
      <c r="D66" s="2"/>
    </row>
    <row r="67" spans="2:4" x14ac:dyDescent="0.55000000000000004">
      <c r="B67" s="1">
        <v>57</v>
      </c>
      <c r="C67" s="9"/>
      <c r="D67" s="2"/>
    </row>
    <row r="68" spans="2:4" x14ac:dyDescent="0.55000000000000004">
      <c r="B68" s="1">
        <v>58</v>
      </c>
      <c r="C68" s="9"/>
      <c r="D68" s="2"/>
    </row>
    <row r="69" spans="2:4" x14ac:dyDescent="0.55000000000000004">
      <c r="B69" s="1">
        <v>59</v>
      </c>
      <c r="C69" s="9"/>
      <c r="D69" s="2"/>
    </row>
    <row r="70" spans="2:4" x14ac:dyDescent="0.55000000000000004">
      <c r="B70" s="1">
        <v>60</v>
      </c>
      <c r="C70" s="9"/>
      <c r="D70" s="2"/>
    </row>
    <row r="71" spans="2:4" x14ac:dyDescent="0.55000000000000004">
      <c r="B71" s="1">
        <v>61</v>
      </c>
      <c r="C71" s="9"/>
      <c r="D71" s="2"/>
    </row>
    <row r="72" spans="2:4" x14ac:dyDescent="0.55000000000000004">
      <c r="B72" s="1">
        <v>62</v>
      </c>
      <c r="C72" s="9"/>
      <c r="D72" s="2"/>
    </row>
    <row r="73" spans="2:4" x14ac:dyDescent="0.55000000000000004">
      <c r="B73" s="1">
        <v>63</v>
      </c>
      <c r="C73" s="9"/>
      <c r="D73" s="2"/>
    </row>
    <row r="74" spans="2:4" x14ac:dyDescent="0.55000000000000004">
      <c r="B74" s="1">
        <v>64</v>
      </c>
      <c r="C74" s="9"/>
      <c r="D74" s="2"/>
    </row>
    <row r="75" spans="2:4" x14ac:dyDescent="0.55000000000000004">
      <c r="B75" s="1">
        <v>65</v>
      </c>
      <c r="C75" s="9"/>
      <c r="D75" s="2"/>
    </row>
    <row r="76" spans="2:4" x14ac:dyDescent="0.55000000000000004">
      <c r="B76" s="1">
        <v>66</v>
      </c>
      <c r="C76" s="9"/>
      <c r="D76" s="2"/>
    </row>
    <row r="77" spans="2:4" x14ac:dyDescent="0.55000000000000004">
      <c r="B77" s="1">
        <v>67</v>
      </c>
      <c r="C77" s="9"/>
      <c r="D77" s="2"/>
    </row>
    <row r="78" spans="2:4" x14ac:dyDescent="0.55000000000000004">
      <c r="B78" s="1">
        <v>68</v>
      </c>
      <c r="C78" s="9"/>
      <c r="D78" s="2"/>
    </row>
    <row r="79" spans="2:4" x14ac:dyDescent="0.55000000000000004">
      <c r="B79" s="1">
        <v>69</v>
      </c>
      <c r="C79" s="9"/>
      <c r="D79" s="2"/>
    </row>
    <row r="80" spans="2:4" x14ac:dyDescent="0.55000000000000004">
      <c r="B80" s="1">
        <v>70</v>
      </c>
      <c r="C80" s="9"/>
      <c r="D80" s="2"/>
    </row>
    <row r="81" spans="2:4" x14ac:dyDescent="0.55000000000000004">
      <c r="B81" s="1">
        <v>71</v>
      </c>
      <c r="C81" s="9"/>
      <c r="D81" s="2"/>
    </row>
    <row r="82" spans="2:4" x14ac:dyDescent="0.55000000000000004">
      <c r="B82" s="1">
        <v>72</v>
      </c>
      <c r="C82" s="9"/>
      <c r="D82" s="2"/>
    </row>
    <row r="83" spans="2:4" x14ac:dyDescent="0.55000000000000004">
      <c r="B83" s="1">
        <v>73</v>
      </c>
      <c r="C83" s="9"/>
      <c r="D83" s="2"/>
    </row>
    <row r="84" spans="2:4" x14ac:dyDescent="0.55000000000000004">
      <c r="B84" s="1">
        <v>74</v>
      </c>
      <c r="C84" s="9"/>
      <c r="D84" s="2"/>
    </row>
    <row r="85" spans="2:4" x14ac:dyDescent="0.55000000000000004">
      <c r="B85" s="1">
        <v>75</v>
      </c>
      <c r="C85" s="9"/>
      <c r="D85" s="2"/>
    </row>
    <row r="86" spans="2:4" x14ac:dyDescent="0.55000000000000004">
      <c r="B86" s="1">
        <v>76</v>
      </c>
      <c r="C86" s="9"/>
      <c r="D86" s="2"/>
    </row>
    <row r="87" spans="2:4" x14ac:dyDescent="0.55000000000000004">
      <c r="B87" s="1">
        <v>77</v>
      </c>
      <c r="C87" s="9"/>
      <c r="D87" s="2"/>
    </row>
    <row r="88" spans="2:4" x14ac:dyDescent="0.55000000000000004">
      <c r="B88" s="1">
        <v>78</v>
      </c>
      <c r="C88" s="9"/>
      <c r="D88" s="2"/>
    </row>
    <row r="89" spans="2:4" x14ac:dyDescent="0.55000000000000004">
      <c r="B89" s="1">
        <v>79</v>
      </c>
      <c r="C89" s="9"/>
      <c r="D89" s="2"/>
    </row>
    <row r="90" spans="2:4" x14ac:dyDescent="0.55000000000000004">
      <c r="B90" s="1">
        <v>80</v>
      </c>
      <c r="C90" s="9"/>
      <c r="D90" s="2"/>
    </row>
    <row r="91" spans="2:4" x14ac:dyDescent="0.55000000000000004">
      <c r="B91" s="1">
        <v>81</v>
      </c>
      <c r="C91" s="9"/>
      <c r="D91" s="2"/>
    </row>
    <row r="92" spans="2:4" x14ac:dyDescent="0.55000000000000004">
      <c r="B92" s="1">
        <v>82</v>
      </c>
      <c r="C92" s="9"/>
      <c r="D92" s="2"/>
    </row>
    <row r="93" spans="2:4" x14ac:dyDescent="0.55000000000000004">
      <c r="B93" s="1">
        <v>83</v>
      </c>
      <c r="C93" s="9"/>
      <c r="D93" s="2"/>
    </row>
    <row r="94" spans="2:4" x14ac:dyDescent="0.55000000000000004">
      <c r="B94" s="1">
        <v>84</v>
      </c>
      <c r="C94" s="9"/>
      <c r="D94" s="2"/>
    </row>
    <row r="95" spans="2:4" x14ac:dyDescent="0.55000000000000004">
      <c r="B95" s="1">
        <v>85</v>
      </c>
      <c r="C95" s="9"/>
      <c r="D95" s="2"/>
    </row>
    <row r="96" spans="2:4" x14ac:dyDescent="0.55000000000000004">
      <c r="B96" s="1">
        <v>86</v>
      </c>
      <c r="C96" s="9"/>
      <c r="D96" s="2"/>
    </row>
    <row r="97" spans="2:4" x14ac:dyDescent="0.55000000000000004">
      <c r="B97" s="1">
        <v>87</v>
      </c>
      <c r="C97" s="9"/>
      <c r="D97" s="2"/>
    </row>
    <row r="98" spans="2:4" x14ac:dyDescent="0.55000000000000004">
      <c r="B98" s="1">
        <v>88</v>
      </c>
      <c r="C98" s="9"/>
      <c r="D98" s="2"/>
    </row>
    <row r="99" spans="2:4" x14ac:dyDescent="0.55000000000000004">
      <c r="B99" s="1">
        <v>89</v>
      </c>
      <c r="C99" s="9"/>
      <c r="D99" s="2"/>
    </row>
    <row r="100" spans="2:4" x14ac:dyDescent="0.55000000000000004">
      <c r="B100" s="1">
        <v>90</v>
      </c>
      <c r="C100" s="9"/>
      <c r="D100" s="2"/>
    </row>
    <row r="101" spans="2:4" x14ac:dyDescent="0.55000000000000004">
      <c r="B101" s="1">
        <v>91</v>
      </c>
      <c r="C101" s="9"/>
      <c r="D101" s="2"/>
    </row>
    <row r="102" spans="2:4" x14ac:dyDescent="0.55000000000000004">
      <c r="B102" s="1">
        <v>92</v>
      </c>
      <c r="C102" s="9"/>
      <c r="D102" s="2"/>
    </row>
    <row r="103" spans="2:4" x14ac:dyDescent="0.55000000000000004">
      <c r="B103" s="1">
        <v>93</v>
      </c>
      <c r="C103" s="9"/>
      <c r="D103" s="2"/>
    </row>
    <row r="104" spans="2:4" x14ac:dyDescent="0.55000000000000004">
      <c r="B104" s="1">
        <v>94</v>
      </c>
      <c r="C104" s="9"/>
      <c r="D104" s="2"/>
    </row>
    <row r="105" spans="2:4" x14ac:dyDescent="0.55000000000000004">
      <c r="B105" s="1">
        <v>95</v>
      </c>
      <c r="C105" s="9"/>
      <c r="D105" s="2"/>
    </row>
    <row r="106" spans="2:4" x14ac:dyDescent="0.55000000000000004">
      <c r="B106" s="1">
        <v>96</v>
      </c>
      <c r="C106" s="9"/>
      <c r="D106" s="2"/>
    </row>
    <row r="107" spans="2:4" x14ac:dyDescent="0.55000000000000004">
      <c r="B107" s="1">
        <v>97</v>
      </c>
      <c r="C107" s="9"/>
      <c r="D107" s="2"/>
    </row>
    <row r="108" spans="2:4" x14ac:dyDescent="0.55000000000000004">
      <c r="B108" s="1">
        <v>98</v>
      </c>
      <c r="C108" s="9"/>
      <c r="D108" s="2"/>
    </row>
    <row r="109" spans="2:4" x14ac:dyDescent="0.55000000000000004">
      <c r="B109" s="1">
        <v>99</v>
      </c>
      <c r="C109" s="9"/>
      <c r="D109" s="2"/>
    </row>
    <row r="110" spans="2:4" ht="18.5" thickBot="1" x14ac:dyDescent="0.6">
      <c r="B110" s="3">
        <v>100</v>
      </c>
      <c r="C110" s="9"/>
      <c r="D110" s="2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E195-801D-4335-83F0-EEB66A6BEACB}">
  <sheetPr>
    <tabColor rgb="FFFF0000"/>
  </sheetPr>
  <dimension ref="B8:G110"/>
  <sheetViews>
    <sheetView workbookViewId="0">
      <selection activeCell="B9" sqref="B9"/>
    </sheetView>
  </sheetViews>
  <sheetFormatPr defaultRowHeight="18" x14ac:dyDescent="0.55000000000000004"/>
  <sheetData>
    <row r="8" spans="2:7" ht="18.5" thickBot="1" x14ac:dyDescent="0.6"/>
    <row r="9" spans="2:7" ht="18.5" thickBot="1" x14ac:dyDescent="0.6">
      <c r="B9" s="6" t="s">
        <v>0</v>
      </c>
      <c r="C9" s="8" t="s">
        <v>1</v>
      </c>
      <c r="D9" s="7" t="s">
        <v>2</v>
      </c>
      <c r="F9" s="11" t="s">
        <v>3</v>
      </c>
      <c r="G9" s="5">
        <v>31</v>
      </c>
    </row>
    <row r="10" spans="2:7" x14ac:dyDescent="0.55000000000000004">
      <c r="B10" s="1">
        <v>0</v>
      </c>
      <c r="C10" s="9">
        <f>COS(2*PI()*B10*$G$9/100)</f>
        <v>1</v>
      </c>
      <c r="D10" s="2">
        <f>SIN(2*PI()*B10*$G$9/100)</f>
        <v>0</v>
      </c>
    </row>
    <row r="11" spans="2:7" x14ac:dyDescent="0.55000000000000004">
      <c r="B11" s="1">
        <v>1</v>
      </c>
      <c r="C11" s="9">
        <f t="shared" ref="C11:C74" si="0">COS(2*PI()*B11*$G$9/100)</f>
        <v>-0.36812455268467775</v>
      </c>
      <c r="D11" s="2">
        <f t="shared" ref="D11:D74" si="1">SIN(2*PI()*B11*$G$9/100)</f>
        <v>0.92977648588825146</v>
      </c>
    </row>
    <row r="12" spans="2:7" x14ac:dyDescent="0.55000000000000004">
      <c r="B12" s="1">
        <v>2</v>
      </c>
      <c r="C12" s="9">
        <f t="shared" si="0"/>
        <v>-0.72896862742141177</v>
      </c>
      <c r="D12" s="2">
        <f t="shared" si="1"/>
        <v>-0.68454710592868839</v>
      </c>
    </row>
    <row r="13" spans="2:7" x14ac:dyDescent="0.55000000000000004">
      <c r="B13" s="1">
        <v>3</v>
      </c>
      <c r="C13" s="9">
        <f t="shared" si="0"/>
        <v>0.90482705246601935</v>
      </c>
      <c r="D13" s="2">
        <f t="shared" si="1"/>
        <v>-0.42577929156507299</v>
      </c>
    </row>
    <row r="14" spans="2:7" x14ac:dyDescent="0.55000000000000004">
      <c r="B14" s="1">
        <v>4</v>
      </c>
      <c r="C14" s="9">
        <f t="shared" si="0"/>
        <v>6.2790519529314207E-2</v>
      </c>
      <c r="D14" s="2">
        <f t="shared" si="1"/>
        <v>0.99802672842827156</v>
      </c>
    </row>
    <row r="15" spans="2:7" x14ac:dyDescent="0.55000000000000004">
      <c r="B15" s="1">
        <v>5</v>
      </c>
      <c r="C15" s="9">
        <f t="shared" si="0"/>
        <v>-0.95105651629515364</v>
      </c>
      <c r="D15" s="2">
        <f t="shared" si="1"/>
        <v>-0.30901699437494706</v>
      </c>
    </row>
    <row r="16" spans="2:7" x14ac:dyDescent="0.55000000000000004">
      <c r="B16" s="1">
        <v>6</v>
      </c>
      <c r="C16" s="9">
        <f t="shared" si="0"/>
        <v>0.63742398974868908</v>
      </c>
      <c r="D16" s="2">
        <f t="shared" si="1"/>
        <v>-0.7705132427757897</v>
      </c>
    </row>
    <row r="17" spans="2:4" x14ac:dyDescent="0.55000000000000004">
      <c r="B17" s="1">
        <v>7</v>
      </c>
      <c r="C17" s="9">
        <f t="shared" si="0"/>
        <v>0.48175367410171638</v>
      </c>
      <c r="D17" s="2">
        <f t="shared" si="1"/>
        <v>0.87630668004386303</v>
      </c>
    </row>
    <row r="18" spans="2:4" x14ac:dyDescent="0.55000000000000004">
      <c r="B18" s="1">
        <v>8</v>
      </c>
      <c r="C18" s="9">
        <f t="shared" si="0"/>
        <v>-0.99211470131447765</v>
      </c>
      <c r="D18" s="2">
        <f t="shared" si="1"/>
        <v>0.1253332335643059</v>
      </c>
    </row>
    <row r="19" spans="2:4" x14ac:dyDescent="0.55000000000000004">
      <c r="B19" s="1">
        <v>9</v>
      </c>
      <c r="C19" s="9">
        <f t="shared" si="0"/>
        <v>0.24868988716485446</v>
      </c>
      <c r="D19" s="2">
        <f t="shared" si="1"/>
        <v>-0.96858316112863119</v>
      </c>
    </row>
    <row r="20" spans="2:4" x14ac:dyDescent="0.55000000000000004">
      <c r="B20" s="1">
        <v>10</v>
      </c>
      <c r="C20" s="9">
        <f t="shared" si="0"/>
        <v>0.8090169943749479</v>
      </c>
      <c r="D20" s="2">
        <f t="shared" si="1"/>
        <v>0.58778525229247247</v>
      </c>
    </row>
    <row r="21" spans="2:4" x14ac:dyDescent="0.55000000000000004">
      <c r="B21" s="1">
        <v>11</v>
      </c>
      <c r="C21" s="9">
        <f t="shared" si="0"/>
        <v>-0.84432792550201252</v>
      </c>
      <c r="D21" s="2">
        <f t="shared" si="1"/>
        <v>0.53582679497900065</v>
      </c>
    </row>
    <row r="22" spans="2:4" x14ac:dyDescent="0.55000000000000004">
      <c r="B22" s="1">
        <v>12</v>
      </c>
      <c r="C22" s="9">
        <f t="shared" si="0"/>
        <v>-0.18738131458572621</v>
      </c>
      <c r="D22" s="2">
        <f t="shared" si="1"/>
        <v>-0.98228725072868839</v>
      </c>
    </row>
    <row r="23" spans="2:4" x14ac:dyDescent="0.55000000000000004">
      <c r="B23" s="1">
        <v>13</v>
      </c>
      <c r="C23" s="9">
        <f t="shared" si="0"/>
        <v>0.98228725072868839</v>
      </c>
      <c r="D23" s="2">
        <f t="shared" si="1"/>
        <v>0.1873813145857261</v>
      </c>
    </row>
    <row r="24" spans="2:4" x14ac:dyDescent="0.55000000000000004">
      <c r="B24" s="1">
        <v>14</v>
      </c>
      <c r="C24" s="9">
        <f t="shared" si="0"/>
        <v>-0.53582679497899455</v>
      </c>
      <c r="D24" s="2">
        <f t="shared" si="1"/>
        <v>0.84432792550201641</v>
      </c>
    </row>
    <row r="25" spans="2:4" x14ac:dyDescent="0.55000000000000004">
      <c r="B25" s="1">
        <v>15</v>
      </c>
      <c r="C25" s="9">
        <f t="shared" si="0"/>
        <v>-0.58778525229247547</v>
      </c>
      <c r="D25" s="2">
        <f t="shared" si="1"/>
        <v>-0.80901699437494567</v>
      </c>
    </row>
    <row r="26" spans="2:4" x14ac:dyDescent="0.55000000000000004">
      <c r="B26" s="1">
        <v>16</v>
      </c>
      <c r="C26" s="9">
        <f t="shared" si="0"/>
        <v>0.9685831611286303</v>
      </c>
      <c r="D26" s="2">
        <f t="shared" si="1"/>
        <v>-0.24868988716485804</v>
      </c>
    </row>
    <row r="27" spans="2:4" x14ac:dyDescent="0.55000000000000004">
      <c r="B27" s="1">
        <v>17</v>
      </c>
      <c r="C27" s="9">
        <f t="shared" si="0"/>
        <v>-0.12533323356430401</v>
      </c>
      <c r="D27" s="2">
        <f t="shared" si="1"/>
        <v>0.99211470131447788</v>
      </c>
    </row>
    <row r="28" spans="2:4" x14ac:dyDescent="0.55000000000000004">
      <c r="B28" s="1">
        <v>18</v>
      </c>
      <c r="C28" s="9">
        <f t="shared" si="0"/>
        <v>-0.87630668004386392</v>
      </c>
      <c r="D28" s="2">
        <f t="shared" si="1"/>
        <v>-0.48175367410171471</v>
      </c>
    </row>
    <row r="29" spans="2:4" x14ac:dyDescent="0.55000000000000004">
      <c r="B29" s="1">
        <v>19</v>
      </c>
      <c r="C29" s="9">
        <f t="shared" si="0"/>
        <v>0.77051324277578859</v>
      </c>
      <c r="D29" s="2">
        <f t="shared" si="1"/>
        <v>-0.63742398974869052</v>
      </c>
    </row>
    <row r="30" spans="2:4" x14ac:dyDescent="0.55000000000000004">
      <c r="B30" s="1">
        <v>20</v>
      </c>
      <c r="C30" s="9">
        <f t="shared" si="0"/>
        <v>0.30901699437494889</v>
      </c>
      <c r="D30" s="2">
        <f t="shared" si="1"/>
        <v>0.95105651629515309</v>
      </c>
    </row>
    <row r="31" spans="2:4" x14ac:dyDescent="0.55000000000000004">
      <c r="B31" s="1">
        <v>21</v>
      </c>
      <c r="C31" s="9">
        <f t="shared" si="0"/>
        <v>-0.99802672842827167</v>
      </c>
      <c r="D31" s="2">
        <f t="shared" si="1"/>
        <v>-6.2790519529311431E-2</v>
      </c>
    </row>
    <row r="32" spans="2:4" x14ac:dyDescent="0.55000000000000004">
      <c r="B32" s="1">
        <v>22</v>
      </c>
      <c r="C32" s="9">
        <f t="shared" si="0"/>
        <v>0.42577929156506406</v>
      </c>
      <c r="D32" s="2">
        <f t="shared" si="1"/>
        <v>-0.90482705246602357</v>
      </c>
    </row>
    <row r="33" spans="2:4" x14ac:dyDescent="0.55000000000000004">
      <c r="B33" s="1">
        <v>23</v>
      </c>
      <c r="C33" s="9">
        <f t="shared" si="0"/>
        <v>0.68454710592869072</v>
      </c>
      <c r="D33" s="2">
        <f t="shared" si="1"/>
        <v>0.72896862742140955</v>
      </c>
    </row>
    <row r="34" spans="2:4" x14ac:dyDescent="0.55000000000000004">
      <c r="B34" s="1">
        <v>24</v>
      </c>
      <c r="C34" s="9">
        <f t="shared" si="0"/>
        <v>-0.92977648588825024</v>
      </c>
      <c r="D34" s="2">
        <f t="shared" si="1"/>
        <v>0.36812455268468097</v>
      </c>
    </row>
    <row r="35" spans="2:4" x14ac:dyDescent="0.55000000000000004">
      <c r="B35" s="1">
        <v>25</v>
      </c>
      <c r="C35" s="9">
        <f t="shared" si="0"/>
        <v>-3.6753369445086115E-15</v>
      </c>
      <c r="D35" s="2">
        <f t="shared" si="1"/>
        <v>-1</v>
      </c>
    </row>
    <row r="36" spans="2:4" x14ac:dyDescent="0.55000000000000004">
      <c r="B36" s="1">
        <v>26</v>
      </c>
      <c r="C36" s="9">
        <f t="shared" si="0"/>
        <v>0.92977648588825035</v>
      </c>
      <c r="D36" s="2">
        <f t="shared" si="1"/>
        <v>0.36812455268468075</v>
      </c>
    </row>
    <row r="37" spans="2:4" x14ac:dyDescent="0.55000000000000004">
      <c r="B37" s="1">
        <v>27</v>
      </c>
      <c r="C37" s="9">
        <f t="shared" si="0"/>
        <v>-0.6845471059286905</v>
      </c>
      <c r="D37" s="2">
        <f t="shared" si="1"/>
        <v>0.72896862742140978</v>
      </c>
    </row>
    <row r="38" spans="2:4" x14ac:dyDescent="0.55000000000000004">
      <c r="B38" s="1">
        <v>28</v>
      </c>
      <c r="C38" s="9">
        <f t="shared" si="0"/>
        <v>-0.42577929156507716</v>
      </c>
      <c r="D38" s="2">
        <f t="shared" si="1"/>
        <v>-0.90482705246601747</v>
      </c>
    </row>
    <row r="39" spans="2:4" x14ac:dyDescent="0.55000000000000004">
      <c r="B39" s="1">
        <v>29</v>
      </c>
      <c r="C39" s="9">
        <f t="shared" si="0"/>
        <v>0.99802672842827167</v>
      </c>
      <c r="D39" s="2">
        <f t="shared" si="1"/>
        <v>-6.2790519529311681E-2</v>
      </c>
    </row>
    <row r="40" spans="2:4" x14ac:dyDescent="0.55000000000000004">
      <c r="B40" s="1">
        <v>30</v>
      </c>
      <c r="C40" s="9">
        <f t="shared" si="0"/>
        <v>-0.3090169943749419</v>
      </c>
      <c r="D40" s="2">
        <f t="shared" si="1"/>
        <v>0.95105651629515542</v>
      </c>
    </row>
    <row r="41" spans="2:4" x14ac:dyDescent="0.55000000000000004">
      <c r="B41" s="1">
        <v>31</v>
      </c>
      <c r="C41" s="9">
        <f t="shared" si="0"/>
        <v>-0.7705132427757887</v>
      </c>
      <c r="D41" s="2">
        <f t="shared" si="1"/>
        <v>-0.63742398974869041</v>
      </c>
    </row>
    <row r="42" spans="2:4" x14ac:dyDescent="0.55000000000000004">
      <c r="B42" s="1">
        <v>32</v>
      </c>
      <c r="C42" s="9">
        <f t="shared" si="0"/>
        <v>0.87630668004386036</v>
      </c>
      <c r="D42" s="2">
        <f t="shared" si="1"/>
        <v>-0.48175367410172115</v>
      </c>
    </row>
    <row r="43" spans="2:4" x14ac:dyDescent="0.55000000000000004">
      <c r="B43" s="1">
        <v>33</v>
      </c>
      <c r="C43" s="9">
        <f t="shared" si="0"/>
        <v>0.12533323356430426</v>
      </c>
      <c r="D43" s="2">
        <f t="shared" si="1"/>
        <v>0.99211470131447788</v>
      </c>
    </row>
    <row r="44" spans="2:4" x14ac:dyDescent="0.55000000000000004">
      <c r="B44" s="1">
        <v>34</v>
      </c>
      <c r="C44" s="9">
        <f t="shared" si="0"/>
        <v>-0.96858316112863119</v>
      </c>
      <c r="D44" s="2">
        <f t="shared" si="1"/>
        <v>-0.24868988716485435</v>
      </c>
    </row>
    <row r="45" spans="2:4" x14ac:dyDescent="0.55000000000000004">
      <c r="B45" s="1">
        <v>35</v>
      </c>
      <c r="C45" s="9">
        <f t="shared" si="0"/>
        <v>0.58778525229246092</v>
      </c>
      <c r="D45" s="2">
        <f t="shared" si="1"/>
        <v>-0.80901699437495633</v>
      </c>
    </row>
    <row r="46" spans="2:4" x14ac:dyDescent="0.55000000000000004">
      <c r="B46" s="1">
        <v>36</v>
      </c>
      <c r="C46" s="9">
        <f t="shared" si="0"/>
        <v>0.53582679497899777</v>
      </c>
      <c r="D46" s="2">
        <f t="shared" si="1"/>
        <v>0.84432792550201441</v>
      </c>
    </row>
    <row r="47" spans="2:4" x14ac:dyDescent="0.55000000000000004">
      <c r="B47" s="1">
        <v>37</v>
      </c>
      <c r="C47" s="9">
        <f t="shared" si="0"/>
        <v>-0.98228725072868839</v>
      </c>
      <c r="D47" s="2">
        <f t="shared" si="1"/>
        <v>0.18738131458572635</v>
      </c>
    </row>
    <row r="48" spans="2:4" x14ac:dyDescent="0.55000000000000004">
      <c r="B48" s="1">
        <v>38</v>
      </c>
      <c r="C48" s="9">
        <f t="shared" si="0"/>
        <v>0.18738131458572249</v>
      </c>
      <c r="D48" s="2">
        <f t="shared" si="1"/>
        <v>-0.98228725072868905</v>
      </c>
    </row>
    <row r="49" spans="2:4" x14ac:dyDescent="0.55000000000000004">
      <c r="B49" s="1">
        <v>39</v>
      </c>
      <c r="C49" s="9">
        <f t="shared" si="0"/>
        <v>0.84432792550201652</v>
      </c>
      <c r="D49" s="2">
        <f t="shared" si="1"/>
        <v>0.53582679497899444</v>
      </c>
    </row>
    <row r="50" spans="2:4" x14ac:dyDescent="0.55000000000000004">
      <c r="B50" s="1">
        <v>40</v>
      </c>
      <c r="C50" s="9">
        <f t="shared" si="0"/>
        <v>-0.80901699437494567</v>
      </c>
      <c r="D50" s="2">
        <f t="shared" si="1"/>
        <v>0.58778525229247558</v>
      </c>
    </row>
    <row r="51" spans="2:4" x14ac:dyDescent="0.55000000000000004">
      <c r="B51" s="1">
        <v>41</v>
      </c>
      <c r="C51" s="9">
        <f t="shared" si="0"/>
        <v>-0.24868988716485815</v>
      </c>
      <c r="D51" s="2">
        <f t="shared" si="1"/>
        <v>-0.9685831611286303</v>
      </c>
    </row>
    <row r="52" spans="2:4" x14ac:dyDescent="0.55000000000000004">
      <c r="B52" s="1">
        <v>42</v>
      </c>
      <c r="C52" s="9">
        <f t="shared" si="0"/>
        <v>0.99211470131447832</v>
      </c>
      <c r="D52" s="2">
        <f t="shared" si="1"/>
        <v>0.12533323356430037</v>
      </c>
    </row>
    <row r="53" spans="2:4" x14ac:dyDescent="0.55000000000000004">
      <c r="B53" s="1">
        <v>43</v>
      </c>
      <c r="C53" s="9">
        <f t="shared" si="0"/>
        <v>-0.48175367410171149</v>
      </c>
      <c r="D53" s="2">
        <f t="shared" si="1"/>
        <v>0.87630668004386569</v>
      </c>
    </row>
    <row r="54" spans="2:4" x14ac:dyDescent="0.55000000000000004">
      <c r="B54" s="1">
        <v>44</v>
      </c>
      <c r="C54" s="9">
        <f t="shared" si="0"/>
        <v>-0.63742398974870429</v>
      </c>
      <c r="D54" s="2">
        <f t="shared" si="1"/>
        <v>-0.77051324277577715</v>
      </c>
    </row>
    <row r="55" spans="2:4" x14ac:dyDescent="0.55000000000000004">
      <c r="B55" s="1">
        <v>45</v>
      </c>
      <c r="C55" s="9">
        <f t="shared" si="0"/>
        <v>0.95105651629515198</v>
      </c>
      <c r="D55" s="2">
        <f t="shared" si="1"/>
        <v>-0.30901699437495239</v>
      </c>
    </row>
    <row r="56" spans="2:4" x14ac:dyDescent="0.55000000000000004">
      <c r="B56" s="1">
        <v>46</v>
      </c>
      <c r="C56" s="9">
        <f t="shared" si="0"/>
        <v>-6.2790519529307767E-2</v>
      </c>
      <c r="D56" s="2">
        <f t="shared" si="1"/>
        <v>0.99802672842827189</v>
      </c>
    </row>
    <row r="57" spans="2:4" x14ac:dyDescent="0.55000000000000004">
      <c r="B57" s="1">
        <v>47</v>
      </c>
      <c r="C57" s="9">
        <f t="shared" si="0"/>
        <v>-0.90482705246601602</v>
      </c>
      <c r="D57" s="2">
        <f t="shared" si="1"/>
        <v>-0.42577929156508004</v>
      </c>
    </row>
    <row r="58" spans="2:4" x14ac:dyDescent="0.55000000000000004">
      <c r="B58" s="1">
        <v>48</v>
      </c>
      <c r="C58" s="9">
        <f t="shared" si="0"/>
        <v>0.72896862742140711</v>
      </c>
      <c r="D58" s="2">
        <f t="shared" si="1"/>
        <v>-0.68454710592869339</v>
      </c>
    </row>
    <row r="59" spans="2:4" x14ac:dyDescent="0.55000000000000004">
      <c r="B59" s="1">
        <v>49</v>
      </c>
      <c r="C59" s="9">
        <f t="shared" si="0"/>
        <v>0.36812455268468441</v>
      </c>
      <c r="D59" s="2">
        <f t="shared" si="1"/>
        <v>0.9297764858882489</v>
      </c>
    </row>
    <row r="60" spans="2:4" x14ac:dyDescent="0.55000000000000004">
      <c r="B60" s="1">
        <v>50</v>
      </c>
      <c r="C60" s="9">
        <f t="shared" si="0"/>
        <v>-1</v>
      </c>
      <c r="D60" s="2">
        <f t="shared" si="1"/>
        <v>7.350673889017223E-15</v>
      </c>
    </row>
    <row r="61" spans="2:4" x14ac:dyDescent="0.55000000000000004">
      <c r="B61" s="1">
        <v>51</v>
      </c>
      <c r="C61" s="9">
        <f t="shared" si="0"/>
        <v>0.36812455268468391</v>
      </c>
      <c r="D61" s="2">
        <f t="shared" si="1"/>
        <v>-0.92977648588824902</v>
      </c>
    </row>
    <row r="62" spans="2:4" x14ac:dyDescent="0.55000000000000004">
      <c r="B62" s="1">
        <v>52</v>
      </c>
      <c r="C62" s="9">
        <f t="shared" si="0"/>
        <v>0.72896862742140744</v>
      </c>
      <c r="D62" s="2">
        <f t="shared" si="1"/>
        <v>0.68454710592869306</v>
      </c>
    </row>
    <row r="63" spans="2:4" x14ac:dyDescent="0.55000000000000004">
      <c r="B63" s="1">
        <v>53</v>
      </c>
      <c r="C63" s="9">
        <f t="shared" si="0"/>
        <v>-0.9048270524660158</v>
      </c>
      <c r="D63" s="2">
        <f t="shared" si="1"/>
        <v>0.42577929156508049</v>
      </c>
    </row>
    <row r="64" spans="2:4" x14ac:dyDescent="0.55000000000000004">
      <c r="B64" s="1">
        <v>54</v>
      </c>
      <c r="C64" s="9">
        <f t="shared" si="0"/>
        <v>-6.2790519529308253E-2</v>
      </c>
      <c r="D64" s="2">
        <f t="shared" si="1"/>
        <v>-0.99802672842827189</v>
      </c>
    </row>
    <row r="65" spans="2:4" x14ac:dyDescent="0.55000000000000004">
      <c r="B65" s="1">
        <v>55</v>
      </c>
      <c r="C65" s="9">
        <f t="shared" si="0"/>
        <v>0.95105651629515209</v>
      </c>
      <c r="D65" s="2">
        <f t="shared" si="1"/>
        <v>0.30901699437495189</v>
      </c>
    </row>
    <row r="66" spans="2:4" x14ac:dyDescent="0.55000000000000004">
      <c r="B66" s="1">
        <v>56</v>
      </c>
      <c r="C66" s="9">
        <f t="shared" si="0"/>
        <v>-0.63742398974868208</v>
      </c>
      <c r="D66" s="2">
        <f t="shared" si="1"/>
        <v>0.77051324277579558</v>
      </c>
    </row>
    <row r="67" spans="2:4" x14ac:dyDescent="0.55000000000000004">
      <c r="B67" s="1">
        <v>57</v>
      </c>
      <c r="C67" s="9">
        <f t="shared" si="0"/>
        <v>-0.48175367410172437</v>
      </c>
      <c r="D67" s="2">
        <f t="shared" si="1"/>
        <v>-0.87630668004385859</v>
      </c>
    </row>
    <row r="68" spans="2:4" x14ac:dyDescent="0.55000000000000004">
      <c r="B68" s="1">
        <v>58</v>
      </c>
      <c r="C68" s="9">
        <f t="shared" si="0"/>
        <v>0.99211470131447821</v>
      </c>
      <c r="D68" s="2">
        <f t="shared" si="1"/>
        <v>-0.12533323356430087</v>
      </c>
    </row>
    <row r="69" spans="2:4" x14ac:dyDescent="0.55000000000000004">
      <c r="B69" s="1">
        <v>59</v>
      </c>
      <c r="C69" s="9">
        <f t="shared" si="0"/>
        <v>-0.24868988716484391</v>
      </c>
      <c r="D69" s="2">
        <f t="shared" si="1"/>
        <v>0.96858316112863396</v>
      </c>
    </row>
    <row r="70" spans="2:4" x14ac:dyDescent="0.55000000000000004">
      <c r="B70" s="1">
        <v>60</v>
      </c>
      <c r="C70" s="9">
        <f t="shared" si="0"/>
        <v>-0.80901699437495433</v>
      </c>
      <c r="D70" s="2">
        <f t="shared" si="1"/>
        <v>-0.5877852522924637</v>
      </c>
    </row>
    <row r="71" spans="2:4" x14ac:dyDescent="0.55000000000000004">
      <c r="B71" s="1">
        <v>61</v>
      </c>
      <c r="C71" s="9">
        <f t="shared" si="0"/>
        <v>0.84432792550200864</v>
      </c>
      <c r="D71" s="2">
        <f t="shared" si="1"/>
        <v>-0.53582679497900687</v>
      </c>
    </row>
    <row r="72" spans="2:4" x14ac:dyDescent="0.55000000000000004">
      <c r="B72" s="1">
        <v>62</v>
      </c>
      <c r="C72" s="9">
        <f t="shared" si="0"/>
        <v>0.18738131458572296</v>
      </c>
      <c r="D72" s="2">
        <f t="shared" si="1"/>
        <v>0.98228725072868894</v>
      </c>
    </row>
    <row r="73" spans="2:4" x14ac:dyDescent="0.55000000000000004">
      <c r="B73" s="1">
        <v>63</v>
      </c>
      <c r="C73" s="9">
        <f t="shared" si="0"/>
        <v>-0.9822872507286885</v>
      </c>
      <c r="D73" s="2">
        <f t="shared" si="1"/>
        <v>-0.18738131458572585</v>
      </c>
    </row>
    <row r="74" spans="2:4" x14ac:dyDescent="0.55000000000000004">
      <c r="B74" s="1">
        <v>64</v>
      </c>
      <c r="C74" s="9">
        <f t="shared" si="0"/>
        <v>0.53582679497898533</v>
      </c>
      <c r="D74" s="2">
        <f t="shared" si="1"/>
        <v>-0.84432792550202229</v>
      </c>
    </row>
    <row r="75" spans="2:4" x14ac:dyDescent="0.55000000000000004">
      <c r="B75" s="1">
        <v>65</v>
      </c>
      <c r="C75" s="9">
        <f t="shared" ref="C75:C110" si="2">COS(2*PI()*B75*$G$9/100)</f>
        <v>0.5877852522924728</v>
      </c>
      <c r="D75" s="2">
        <f t="shared" ref="D75:D110" si="3">SIN(2*PI()*B75*$G$9/100)</f>
        <v>0.80901699437494767</v>
      </c>
    </row>
    <row r="76" spans="2:4" x14ac:dyDescent="0.55000000000000004">
      <c r="B76" s="1">
        <v>66</v>
      </c>
      <c r="C76" s="9">
        <f t="shared" si="2"/>
        <v>-0.96858316112863108</v>
      </c>
      <c r="D76" s="2">
        <f t="shared" si="3"/>
        <v>0.24868988716485482</v>
      </c>
    </row>
    <row r="77" spans="2:4" x14ac:dyDescent="0.55000000000000004">
      <c r="B77" s="1">
        <v>67</v>
      </c>
      <c r="C77" s="9">
        <f t="shared" si="2"/>
        <v>0.12533323356428969</v>
      </c>
      <c r="D77" s="2">
        <f t="shared" si="3"/>
        <v>-0.99211470131447965</v>
      </c>
    </row>
    <row r="78" spans="2:4" x14ac:dyDescent="0.55000000000000004">
      <c r="B78" s="1">
        <v>68</v>
      </c>
      <c r="C78" s="9">
        <f t="shared" si="2"/>
        <v>0.87630668004386403</v>
      </c>
      <c r="D78" s="2">
        <f t="shared" si="3"/>
        <v>0.48175367410171449</v>
      </c>
    </row>
    <row r="79" spans="2:4" x14ac:dyDescent="0.55000000000000004">
      <c r="B79" s="1">
        <v>69</v>
      </c>
      <c r="C79" s="9">
        <f t="shared" si="2"/>
        <v>-0.77051324277577937</v>
      </c>
      <c r="D79" s="2">
        <f t="shared" si="3"/>
        <v>0.63742398974870174</v>
      </c>
    </row>
    <row r="80" spans="2:4" x14ac:dyDescent="0.55000000000000004">
      <c r="B80" s="1">
        <v>70</v>
      </c>
      <c r="C80" s="9">
        <f t="shared" si="2"/>
        <v>-0.30901699437497615</v>
      </c>
      <c r="D80" s="2">
        <f t="shared" si="3"/>
        <v>-0.95105651629514421</v>
      </c>
    </row>
    <row r="81" spans="2:4" x14ac:dyDescent="0.55000000000000004">
      <c r="B81" s="1">
        <v>71</v>
      </c>
      <c r="C81" s="9">
        <f t="shared" si="2"/>
        <v>0.99802672842827078</v>
      </c>
      <c r="D81" s="2">
        <f t="shared" si="3"/>
        <v>6.2790519529325364E-2</v>
      </c>
    </row>
    <row r="82" spans="2:4" x14ac:dyDescent="0.55000000000000004">
      <c r="B82" s="1">
        <v>72</v>
      </c>
      <c r="C82" s="9">
        <f t="shared" si="2"/>
        <v>-0.42577929156507027</v>
      </c>
      <c r="D82" s="2">
        <f t="shared" si="3"/>
        <v>0.90482705246602069</v>
      </c>
    </row>
    <row r="83" spans="2:4" x14ac:dyDescent="0.55000000000000004">
      <c r="B83" s="1">
        <v>73</v>
      </c>
      <c r="C83" s="9">
        <f t="shared" si="2"/>
        <v>-0.68454710592870127</v>
      </c>
      <c r="D83" s="2">
        <f t="shared" si="3"/>
        <v>-0.72896862742139967</v>
      </c>
    </row>
    <row r="84" spans="2:4" x14ac:dyDescent="0.55000000000000004">
      <c r="B84" s="1">
        <v>74</v>
      </c>
      <c r="C84" s="9">
        <f t="shared" si="2"/>
        <v>0.92977648588825013</v>
      </c>
      <c r="D84" s="2">
        <f t="shared" si="3"/>
        <v>-0.36812455268468119</v>
      </c>
    </row>
    <row r="85" spans="2:4" x14ac:dyDescent="0.55000000000000004">
      <c r="B85" s="1">
        <v>75</v>
      </c>
      <c r="C85" s="9">
        <f t="shared" si="2"/>
        <v>1.8131438191126836E-14</v>
      </c>
      <c r="D85" s="2">
        <f t="shared" si="3"/>
        <v>1</v>
      </c>
    </row>
    <row r="86" spans="2:4" x14ac:dyDescent="0.55000000000000004">
      <c r="B86" s="1">
        <v>76</v>
      </c>
      <c r="C86" s="9">
        <f t="shared" si="2"/>
        <v>-0.92977648588825301</v>
      </c>
      <c r="D86" s="2">
        <f t="shared" si="3"/>
        <v>-0.36812455268467392</v>
      </c>
    </row>
    <row r="87" spans="2:4" x14ac:dyDescent="0.55000000000000004">
      <c r="B87" s="1">
        <v>77</v>
      </c>
      <c r="C87" s="9">
        <f t="shared" si="2"/>
        <v>0.6845471059286955</v>
      </c>
      <c r="D87" s="2">
        <f t="shared" si="3"/>
        <v>-0.72896862742140511</v>
      </c>
    </row>
    <row r="88" spans="2:4" x14ac:dyDescent="0.55000000000000004">
      <c r="B88" s="1">
        <v>78</v>
      </c>
      <c r="C88" s="9">
        <f t="shared" si="2"/>
        <v>0.42577929156507738</v>
      </c>
      <c r="D88" s="2">
        <f t="shared" si="3"/>
        <v>0.90482705246601736</v>
      </c>
    </row>
    <row r="89" spans="2:4" x14ac:dyDescent="0.55000000000000004">
      <c r="B89" s="1">
        <v>79</v>
      </c>
      <c r="C89" s="9">
        <f t="shared" si="2"/>
        <v>-0.99802672842827211</v>
      </c>
      <c r="D89" s="2">
        <f t="shared" si="3"/>
        <v>6.2790519529304825E-2</v>
      </c>
    </row>
    <row r="90" spans="2:4" x14ac:dyDescent="0.55000000000000004">
      <c r="B90" s="1">
        <v>80</v>
      </c>
      <c r="C90" s="9">
        <f t="shared" si="2"/>
        <v>0.30901699437494162</v>
      </c>
      <c r="D90" s="2">
        <f t="shared" si="3"/>
        <v>-0.95105651629515542</v>
      </c>
    </row>
    <row r="91" spans="2:4" x14ac:dyDescent="0.55000000000000004">
      <c r="B91" s="1">
        <v>81</v>
      </c>
      <c r="C91" s="9">
        <f t="shared" si="2"/>
        <v>0.77051324277580246</v>
      </c>
      <c r="D91" s="2">
        <f t="shared" si="3"/>
        <v>0.63742398974867376</v>
      </c>
    </row>
    <row r="92" spans="2:4" x14ac:dyDescent="0.55000000000000004">
      <c r="B92" s="1">
        <v>82</v>
      </c>
      <c r="C92" s="9">
        <f t="shared" si="2"/>
        <v>-0.87630668004386025</v>
      </c>
      <c r="D92" s="2">
        <f t="shared" si="3"/>
        <v>0.48175367410172137</v>
      </c>
    </row>
    <row r="93" spans="2:4" x14ac:dyDescent="0.55000000000000004">
      <c r="B93" s="1">
        <v>83</v>
      </c>
      <c r="C93" s="9">
        <f t="shared" si="2"/>
        <v>-0.12533323356429746</v>
      </c>
      <c r="D93" s="2">
        <f t="shared" si="3"/>
        <v>-0.99211470131447865</v>
      </c>
    </row>
    <row r="94" spans="2:4" x14ac:dyDescent="0.55000000000000004">
      <c r="B94" s="1">
        <v>84</v>
      </c>
      <c r="C94" s="9">
        <f t="shared" si="2"/>
        <v>0.96858316112863307</v>
      </c>
      <c r="D94" s="2">
        <f t="shared" si="3"/>
        <v>0.24868988716484725</v>
      </c>
    </row>
    <row r="95" spans="2:4" x14ac:dyDescent="0.55000000000000004">
      <c r="B95" s="1">
        <v>85</v>
      </c>
      <c r="C95" s="9">
        <f t="shared" si="2"/>
        <v>-0.58778525229245493</v>
      </c>
      <c r="D95" s="2">
        <f t="shared" si="3"/>
        <v>0.80901699437496066</v>
      </c>
    </row>
    <row r="96" spans="2:4" x14ac:dyDescent="0.55000000000000004">
      <c r="B96" s="1">
        <v>86</v>
      </c>
      <c r="C96" s="9">
        <f t="shared" si="2"/>
        <v>-0.53582679497900398</v>
      </c>
      <c r="D96" s="2">
        <f t="shared" si="3"/>
        <v>-0.84432792550201041</v>
      </c>
    </row>
    <row r="97" spans="2:4" x14ac:dyDescent="0.55000000000000004">
      <c r="B97" s="1">
        <v>87</v>
      </c>
      <c r="C97" s="9">
        <f t="shared" si="2"/>
        <v>0.98228725072868428</v>
      </c>
      <c r="D97" s="2">
        <f t="shared" si="3"/>
        <v>-0.18738131458574753</v>
      </c>
    </row>
    <row r="98" spans="2:4" x14ac:dyDescent="0.55000000000000004">
      <c r="B98" s="1">
        <v>88</v>
      </c>
      <c r="C98" s="9">
        <f t="shared" si="2"/>
        <v>-0.18738131458568735</v>
      </c>
      <c r="D98" s="2">
        <f t="shared" si="3"/>
        <v>0.98228725072869583</v>
      </c>
    </row>
    <row r="99" spans="2:4" x14ac:dyDescent="0.55000000000000004">
      <c r="B99" s="1">
        <v>89</v>
      </c>
      <c r="C99" s="9">
        <f t="shared" si="2"/>
        <v>-0.84432792550201285</v>
      </c>
      <c r="D99" s="2">
        <f t="shared" si="3"/>
        <v>-0.53582679497900021</v>
      </c>
    </row>
    <row r="100" spans="2:4" x14ac:dyDescent="0.55000000000000004">
      <c r="B100" s="1">
        <v>90</v>
      </c>
      <c r="C100" s="9">
        <f t="shared" si="2"/>
        <v>0.80901699437494135</v>
      </c>
      <c r="D100" s="2">
        <f t="shared" si="3"/>
        <v>-0.58778525229248157</v>
      </c>
    </row>
    <row r="101" spans="2:4" x14ac:dyDescent="0.55000000000000004">
      <c r="B101" s="1">
        <v>91</v>
      </c>
      <c r="C101" s="9">
        <f t="shared" si="2"/>
        <v>0.24868988716485149</v>
      </c>
      <c r="D101" s="2">
        <f t="shared" si="3"/>
        <v>0.96858316112863196</v>
      </c>
    </row>
    <row r="102" spans="2:4" x14ac:dyDescent="0.55000000000000004">
      <c r="B102" s="1">
        <v>92</v>
      </c>
      <c r="C102" s="9">
        <f t="shared" si="2"/>
        <v>-0.99211470131447921</v>
      </c>
      <c r="D102" s="2">
        <f t="shared" si="3"/>
        <v>-0.12533323356429307</v>
      </c>
    </row>
    <row r="103" spans="2:4" x14ac:dyDescent="0.55000000000000004">
      <c r="B103" s="1">
        <v>93</v>
      </c>
      <c r="C103" s="9">
        <f t="shared" si="2"/>
        <v>0.48175367410169256</v>
      </c>
      <c r="D103" s="2">
        <f t="shared" si="3"/>
        <v>-0.87630668004387602</v>
      </c>
    </row>
    <row r="104" spans="2:4" x14ac:dyDescent="0.55000000000000004">
      <c r="B104" s="1">
        <v>94</v>
      </c>
      <c r="C104" s="9">
        <f t="shared" si="2"/>
        <v>0.6374239897486772</v>
      </c>
      <c r="D104" s="2">
        <f t="shared" si="3"/>
        <v>0.77051324277579958</v>
      </c>
    </row>
    <row r="105" spans="2:4" x14ac:dyDescent="0.55000000000000004">
      <c r="B105" s="1">
        <v>95</v>
      </c>
      <c r="C105" s="9">
        <f t="shared" si="2"/>
        <v>-0.95105651629515409</v>
      </c>
      <c r="D105" s="2">
        <f t="shared" si="3"/>
        <v>0.30901699437494584</v>
      </c>
    </row>
    <row r="106" spans="2:4" x14ac:dyDescent="0.55000000000000004">
      <c r="B106" s="1">
        <v>96</v>
      </c>
      <c r="C106" s="9">
        <f t="shared" si="2"/>
        <v>6.2790519529300426E-2</v>
      </c>
      <c r="D106" s="2">
        <f t="shared" si="3"/>
        <v>-0.99802672842827234</v>
      </c>
    </row>
    <row r="107" spans="2:4" x14ac:dyDescent="0.55000000000000004">
      <c r="B107" s="1">
        <v>97</v>
      </c>
      <c r="C107" s="9">
        <f t="shared" si="2"/>
        <v>0.90482705246601913</v>
      </c>
      <c r="D107" s="2">
        <f t="shared" si="3"/>
        <v>0.42577929156507338</v>
      </c>
    </row>
    <row r="108" spans="2:4" x14ac:dyDescent="0.55000000000000004">
      <c r="B108" s="1">
        <v>98</v>
      </c>
      <c r="C108" s="9">
        <f t="shared" si="2"/>
        <v>-0.728968627421402</v>
      </c>
      <c r="D108" s="2">
        <f t="shared" si="3"/>
        <v>0.68454710592869872</v>
      </c>
    </row>
    <row r="109" spans="2:4" x14ac:dyDescent="0.55000000000000004">
      <c r="B109" s="1">
        <v>99</v>
      </c>
      <c r="C109" s="9">
        <f t="shared" si="2"/>
        <v>-0.36812455268467803</v>
      </c>
      <c r="D109" s="2">
        <f t="shared" si="3"/>
        <v>-0.92977648588825135</v>
      </c>
    </row>
    <row r="110" spans="2:4" ht="18.5" thickBot="1" x14ac:dyDescent="0.6">
      <c r="B110" s="3">
        <v>100</v>
      </c>
      <c r="C110" s="9">
        <f t="shared" si="2"/>
        <v>1</v>
      </c>
      <c r="D110" s="2">
        <f t="shared" si="3"/>
        <v>-1.4701347778034446E-14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0BEE-0DBE-40F6-9F2D-8DD23257A9EA}">
  <dimension ref="B8:K210"/>
  <sheetViews>
    <sheetView workbookViewId="0">
      <selection activeCell="B9" sqref="B9"/>
    </sheetView>
  </sheetViews>
  <sheetFormatPr defaultRowHeight="18" x14ac:dyDescent="0.55000000000000004"/>
  <sheetData>
    <row r="8" spans="2:11" ht="18.5" thickBot="1" x14ac:dyDescent="0.6">
      <c r="B8" s="12" t="s">
        <v>8</v>
      </c>
      <c r="H8" s="12" t="s">
        <v>9</v>
      </c>
    </row>
    <row r="9" spans="2:11" ht="18.5" thickBot="1" x14ac:dyDescent="0.6">
      <c r="B9" s="6" t="s">
        <v>4</v>
      </c>
      <c r="C9" s="8" t="s">
        <v>5</v>
      </c>
      <c r="D9" s="15" t="s">
        <v>6</v>
      </c>
      <c r="E9" s="8" t="s">
        <v>7</v>
      </c>
      <c r="H9" s="6" t="s">
        <v>4</v>
      </c>
      <c r="I9" s="8" t="s">
        <v>5</v>
      </c>
      <c r="J9" s="8" t="s">
        <v>6</v>
      </c>
      <c r="K9" s="7" t="s">
        <v>7</v>
      </c>
    </row>
    <row r="10" spans="2:11" x14ac:dyDescent="0.55000000000000004">
      <c r="B10" s="1">
        <v>0</v>
      </c>
      <c r="C10" s="9">
        <f>0.05*B10</f>
        <v>0</v>
      </c>
      <c r="D10" s="13">
        <f>C10*COS(2*PI()*B10/50)</f>
        <v>0</v>
      </c>
      <c r="E10" s="9">
        <f>C10*SIN(2*PI()*B10/50)</f>
        <v>0</v>
      </c>
      <c r="H10" s="1">
        <v>0</v>
      </c>
      <c r="I10" s="9">
        <f>EXP(0.02*H10)</f>
        <v>1</v>
      </c>
      <c r="J10" s="13">
        <f>I10*COS(2*PI()*H10/50)</f>
        <v>1</v>
      </c>
      <c r="K10" s="9">
        <f>I10*SIN(2*PI()*H10/50)</f>
        <v>0</v>
      </c>
    </row>
    <row r="11" spans="2:11" x14ac:dyDescent="0.55000000000000004">
      <c r="B11" s="1">
        <v>1</v>
      </c>
      <c r="C11" s="9"/>
      <c r="D11" s="13"/>
      <c r="E11" s="9"/>
      <c r="H11" s="1">
        <v>1</v>
      </c>
      <c r="I11" s="9"/>
      <c r="J11" s="13"/>
      <c r="K11" s="9"/>
    </row>
    <row r="12" spans="2:11" x14ac:dyDescent="0.55000000000000004">
      <c r="B12" s="1">
        <v>2</v>
      </c>
      <c r="C12" s="9"/>
      <c r="D12" s="13"/>
      <c r="E12" s="9"/>
      <c r="H12" s="1">
        <v>2</v>
      </c>
      <c r="I12" s="9"/>
      <c r="J12" s="13"/>
      <c r="K12" s="9"/>
    </row>
    <row r="13" spans="2:11" x14ac:dyDescent="0.55000000000000004">
      <c r="B13" s="1">
        <v>3</v>
      </c>
      <c r="C13" s="9"/>
      <c r="D13" s="13"/>
      <c r="E13" s="9"/>
      <c r="H13" s="1">
        <v>3</v>
      </c>
      <c r="I13" s="9"/>
      <c r="J13" s="13"/>
      <c r="K13" s="9"/>
    </row>
    <row r="14" spans="2:11" x14ac:dyDescent="0.55000000000000004">
      <c r="B14" s="1">
        <v>4</v>
      </c>
      <c r="C14" s="9"/>
      <c r="D14" s="13"/>
      <c r="E14" s="9"/>
      <c r="H14" s="1">
        <v>4</v>
      </c>
      <c r="I14" s="9"/>
      <c r="J14" s="13"/>
      <c r="K14" s="9"/>
    </row>
    <row r="15" spans="2:11" x14ac:dyDescent="0.55000000000000004">
      <c r="B15" s="1">
        <v>5</v>
      </c>
      <c r="C15" s="9"/>
      <c r="D15" s="13"/>
      <c r="E15" s="9"/>
      <c r="H15" s="1">
        <v>5</v>
      </c>
      <c r="I15" s="9"/>
      <c r="J15" s="13"/>
      <c r="K15" s="9"/>
    </row>
    <row r="16" spans="2:11" x14ac:dyDescent="0.55000000000000004">
      <c r="B16" s="1">
        <v>6</v>
      </c>
      <c r="C16" s="9"/>
      <c r="D16" s="13"/>
      <c r="E16" s="9"/>
      <c r="H16" s="1">
        <v>6</v>
      </c>
      <c r="I16" s="9"/>
      <c r="J16" s="13"/>
      <c r="K16" s="9"/>
    </row>
    <row r="17" spans="2:11" x14ac:dyDescent="0.55000000000000004">
      <c r="B17" s="1">
        <v>7</v>
      </c>
      <c r="C17" s="9"/>
      <c r="D17" s="13"/>
      <c r="E17" s="9"/>
      <c r="H17" s="1">
        <v>7</v>
      </c>
      <c r="I17" s="9"/>
      <c r="J17" s="13"/>
      <c r="K17" s="9"/>
    </row>
    <row r="18" spans="2:11" x14ac:dyDescent="0.55000000000000004">
      <c r="B18" s="1">
        <v>8</v>
      </c>
      <c r="C18" s="9"/>
      <c r="D18" s="13"/>
      <c r="E18" s="9"/>
      <c r="H18" s="1">
        <v>8</v>
      </c>
      <c r="I18" s="9"/>
      <c r="J18" s="13"/>
      <c r="K18" s="9"/>
    </row>
    <row r="19" spans="2:11" x14ac:dyDescent="0.55000000000000004">
      <c r="B19" s="1">
        <v>9</v>
      </c>
      <c r="C19" s="9"/>
      <c r="D19" s="13"/>
      <c r="E19" s="9"/>
      <c r="H19" s="1">
        <v>9</v>
      </c>
      <c r="I19" s="9"/>
      <c r="J19" s="13"/>
      <c r="K19" s="9"/>
    </row>
    <row r="20" spans="2:11" x14ac:dyDescent="0.55000000000000004">
      <c r="B20" s="1">
        <v>10</v>
      </c>
      <c r="C20" s="9"/>
      <c r="D20" s="13"/>
      <c r="E20" s="9"/>
      <c r="H20" s="1">
        <v>10</v>
      </c>
      <c r="I20" s="9"/>
      <c r="J20" s="13"/>
      <c r="K20" s="9"/>
    </row>
    <row r="21" spans="2:11" x14ac:dyDescent="0.55000000000000004">
      <c r="B21" s="1">
        <v>11</v>
      </c>
      <c r="C21" s="9"/>
      <c r="D21" s="13"/>
      <c r="E21" s="9"/>
      <c r="H21" s="1">
        <v>11</v>
      </c>
      <c r="I21" s="9"/>
      <c r="J21" s="13"/>
      <c r="K21" s="9"/>
    </row>
    <row r="22" spans="2:11" x14ac:dyDescent="0.55000000000000004">
      <c r="B22" s="1">
        <v>12</v>
      </c>
      <c r="C22" s="9"/>
      <c r="D22" s="13"/>
      <c r="E22" s="9"/>
      <c r="H22" s="1">
        <v>12</v>
      </c>
      <c r="I22" s="9"/>
      <c r="J22" s="13"/>
      <c r="K22" s="9"/>
    </row>
    <row r="23" spans="2:11" x14ac:dyDescent="0.55000000000000004">
      <c r="B23" s="1">
        <v>13</v>
      </c>
      <c r="C23" s="9"/>
      <c r="D23" s="13"/>
      <c r="E23" s="9"/>
      <c r="H23" s="1">
        <v>13</v>
      </c>
      <c r="I23" s="9"/>
      <c r="J23" s="13"/>
      <c r="K23" s="9"/>
    </row>
    <row r="24" spans="2:11" x14ac:dyDescent="0.55000000000000004">
      <c r="B24" s="1">
        <v>14</v>
      </c>
      <c r="C24" s="9"/>
      <c r="D24" s="13"/>
      <c r="E24" s="9"/>
      <c r="H24" s="1">
        <v>14</v>
      </c>
      <c r="I24" s="9"/>
      <c r="J24" s="13"/>
      <c r="K24" s="9"/>
    </row>
    <row r="25" spans="2:11" x14ac:dyDescent="0.55000000000000004">
      <c r="B25" s="1">
        <v>15</v>
      </c>
      <c r="C25" s="9"/>
      <c r="D25" s="13"/>
      <c r="E25" s="9"/>
      <c r="H25" s="1">
        <v>15</v>
      </c>
      <c r="I25" s="9"/>
      <c r="J25" s="13"/>
      <c r="K25" s="9"/>
    </row>
    <row r="26" spans="2:11" x14ac:dyDescent="0.55000000000000004">
      <c r="B26" s="1">
        <v>16</v>
      </c>
      <c r="C26" s="9"/>
      <c r="D26" s="13"/>
      <c r="E26" s="9"/>
      <c r="H26" s="1">
        <v>16</v>
      </c>
      <c r="I26" s="9"/>
      <c r="J26" s="13"/>
      <c r="K26" s="9"/>
    </row>
    <row r="27" spans="2:11" x14ac:dyDescent="0.55000000000000004">
      <c r="B27" s="1">
        <v>17</v>
      </c>
      <c r="C27" s="9"/>
      <c r="D27" s="13"/>
      <c r="E27" s="9"/>
      <c r="H27" s="1">
        <v>17</v>
      </c>
      <c r="I27" s="9"/>
      <c r="J27" s="13"/>
      <c r="K27" s="9"/>
    </row>
    <row r="28" spans="2:11" x14ac:dyDescent="0.55000000000000004">
      <c r="B28" s="1">
        <v>18</v>
      </c>
      <c r="C28" s="9"/>
      <c r="D28" s="13"/>
      <c r="E28" s="9"/>
      <c r="H28" s="1">
        <v>18</v>
      </c>
      <c r="I28" s="9"/>
      <c r="J28" s="13"/>
      <c r="K28" s="9"/>
    </row>
    <row r="29" spans="2:11" x14ac:dyDescent="0.55000000000000004">
      <c r="B29" s="1">
        <v>19</v>
      </c>
      <c r="C29" s="9"/>
      <c r="D29" s="13"/>
      <c r="E29" s="9"/>
      <c r="H29" s="1">
        <v>19</v>
      </c>
      <c r="I29" s="9"/>
      <c r="J29" s="13"/>
      <c r="K29" s="9"/>
    </row>
    <row r="30" spans="2:11" x14ac:dyDescent="0.55000000000000004">
      <c r="B30" s="1">
        <v>20</v>
      </c>
      <c r="C30" s="9"/>
      <c r="D30" s="13"/>
      <c r="E30" s="9"/>
      <c r="H30" s="1">
        <v>20</v>
      </c>
      <c r="I30" s="9"/>
      <c r="J30" s="13"/>
      <c r="K30" s="9"/>
    </row>
    <row r="31" spans="2:11" x14ac:dyDescent="0.55000000000000004">
      <c r="B31" s="1">
        <v>21</v>
      </c>
      <c r="C31" s="9"/>
      <c r="D31" s="13"/>
      <c r="E31" s="9"/>
      <c r="H31" s="1">
        <v>21</v>
      </c>
      <c r="I31" s="9"/>
      <c r="J31" s="13"/>
      <c r="K31" s="9"/>
    </row>
    <row r="32" spans="2:11" x14ac:dyDescent="0.55000000000000004">
      <c r="B32" s="1">
        <v>22</v>
      </c>
      <c r="C32" s="9"/>
      <c r="D32" s="13"/>
      <c r="E32" s="9"/>
      <c r="H32" s="1">
        <v>22</v>
      </c>
      <c r="I32" s="9"/>
      <c r="J32" s="13"/>
      <c r="K32" s="9"/>
    </row>
    <row r="33" spans="2:11" x14ac:dyDescent="0.55000000000000004">
      <c r="B33" s="1">
        <v>23</v>
      </c>
      <c r="C33" s="9"/>
      <c r="D33" s="13"/>
      <c r="E33" s="9"/>
      <c r="H33" s="1">
        <v>23</v>
      </c>
      <c r="I33" s="9"/>
      <c r="J33" s="13"/>
      <c r="K33" s="9"/>
    </row>
    <row r="34" spans="2:11" x14ac:dyDescent="0.55000000000000004">
      <c r="B34" s="1">
        <v>24</v>
      </c>
      <c r="C34" s="9"/>
      <c r="D34" s="13"/>
      <c r="E34" s="9"/>
      <c r="H34" s="1">
        <v>24</v>
      </c>
      <c r="I34" s="9"/>
      <c r="J34" s="13"/>
      <c r="K34" s="9"/>
    </row>
    <row r="35" spans="2:11" x14ac:dyDescent="0.55000000000000004">
      <c r="B35" s="1">
        <v>25</v>
      </c>
      <c r="C35" s="9"/>
      <c r="D35" s="13"/>
      <c r="E35" s="9"/>
      <c r="H35" s="1">
        <v>25</v>
      </c>
      <c r="I35" s="9"/>
      <c r="J35" s="13"/>
      <c r="K35" s="9"/>
    </row>
    <row r="36" spans="2:11" x14ac:dyDescent="0.55000000000000004">
      <c r="B36" s="1">
        <v>26</v>
      </c>
      <c r="C36" s="9"/>
      <c r="D36" s="13"/>
      <c r="E36" s="9"/>
      <c r="H36" s="1">
        <v>26</v>
      </c>
      <c r="I36" s="9"/>
      <c r="J36" s="13"/>
      <c r="K36" s="9"/>
    </row>
    <row r="37" spans="2:11" x14ac:dyDescent="0.55000000000000004">
      <c r="B37" s="1">
        <v>27</v>
      </c>
      <c r="C37" s="9"/>
      <c r="D37" s="13"/>
      <c r="E37" s="9"/>
      <c r="H37" s="1">
        <v>27</v>
      </c>
      <c r="I37" s="9"/>
      <c r="J37" s="13"/>
      <c r="K37" s="9"/>
    </row>
    <row r="38" spans="2:11" x14ac:dyDescent="0.55000000000000004">
      <c r="B38" s="1">
        <v>28</v>
      </c>
      <c r="C38" s="9"/>
      <c r="D38" s="13"/>
      <c r="E38" s="9"/>
      <c r="H38" s="1">
        <v>28</v>
      </c>
      <c r="I38" s="9"/>
      <c r="J38" s="13"/>
      <c r="K38" s="9"/>
    </row>
    <row r="39" spans="2:11" x14ac:dyDescent="0.55000000000000004">
      <c r="B39" s="1">
        <v>29</v>
      </c>
      <c r="C39" s="9"/>
      <c r="D39" s="13"/>
      <c r="E39" s="9"/>
      <c r="H39" s="1">
        <v>29</v>
      </c>
      <c r="I39" s="9"/>
      <c r="J39" s="13"/>
      <c r="K39" s="9"/>
    </row>
    <row r="40" spans="2:11" x14ac:dyDescent="0.55000000000000004">
      <c r="B40" s="1">
        <v>30</v>
      </c>
      <c r="C40" s="9"/>
      <c r="D40" s="13"/>
      <c r="E40" s="9"/>
      <c r="H40" s="1">
        <v>30</v>
      </c>
      <c r="I40" s="9"/>
      <c r="J40" s="13"/>
      <c r="K40" s="9"/>
    </row>
    <row r="41" spans="2:11" x14ac:dyDescent="0.55000000000000004">
      <c r="B41" s="1">
        <v>31</v>
      </c>
      <c r="C41" s="9"/>
      <c r="D41" s="13"/>
      <c r="E41" s="9"/>
      <c r="H41" s="1">
        <v>31</v>
      </c>
      <c r="I41" s="9"/>
      <c r="J41" s="13"/>
      <c r="K41" s="9"/>
    </row>
    <row r="42" spans="2:11" x14ac:dyDescent="0.55000000000000004">
      <c r="B42" s="1">
        <v>32</v>
      </c>
      <c r="C42" s="9"/>
      <c r="D42" s="13"/>
      <c r="E42" s="9"/>
      <c r="H42" s="1">
        <v>32</v>
      </c>
      <c r="I42" s="9"/>
      <c r="J42" s="13"/>
      <c r="K42" s="9"/>
    </row>
    <row r="43" spans="2:11" x14ac:dyDescent="0.55000000000000004">
      <c r="B43" s="1">
        <v>33</v>
      </c>
      <c r="C43" s="9"/>
      <c r="D43" s="13"/>
      <c r="E43" s="9"/>
      <c r="H43" s="1">
        <v>33</v>
      </c>
      <c r="I43" s="9"/>
      <c r="J43" s="13"/>
      <c r="K43" s="9"/>
    </row>
    <row r="44" spans="2:11" x14ac:dyDescent="0.55000000000000004">
      <c r="B44" s="1">
        <v>34</v>
      </c>
      <c r="C44" s="9"/>
      <c r="D44" s="13"/>
      <c r="E44" s="9"/>
      <c r="H44" s="1">
        <v>34</v>
      </c>
      <c r="I44" s="9"/>
      <c r="J44" s="13"/>
      <c r="K44" s="9"/>
    </row>
    <row r="45" spans="2:11" x14ac:dyDescent="0.55000000000000004">
      <c r="B45" s="1">
        <v>35</v>
      </c>
      <c r="C45" s="9"/>
      <c r="D45" s="13"/>
      <c r="E45" s="9"/>
      <c r="H45" s="1">
        <v>35</v>
      </c>
      <c r="I45" s="9"/>
      <c r="J45" s="13"/>
      <c r="K45" s="9"/>
    </row>
    <row r="46" spans="2:11" x14ac:dyDescent="0.55000000000000004">
      <c r="B46" s="1">
        <v>36</v>
      </c>
      <c r="C46" s="9"/>
      <c r="D46" s="13"/>
      <c r="E46" s="9"/>
      <c r="H46" s="1">
        <v>36</v>
      </c>
      <c r="I46" s="9"/>
      <c r="J46" s="13"/>
      <c r="K46" s="9"/>
    </row>
    <row r="47" spans="2:11" x14ac:dyDescent="0.55000000000000004">
      <c r="B47" s="1">
        <v>37</v>
      </c>
      <c r="C47" s="9"/>
      <c r="D47" s="13"/>
      <c r="E47" s="9"/>
      <c r="H47" s="1">
        <v>37</v>
      </c>
      <c r="I47" s="9"/>
      <c r="J47" s="13"/>
      <c r="K47" s="9"/>
    </row>
    <row r="48" spans="2:11" x14ac:dyDescent="0.55000000000000004">
      <c r="B48" s="1">
        <v>38</v>
      </c>
      <c r="C48" s="9"/>
      <c r="D48" s="13"/>
      <c r="E48" s="9"/>
      <c r="H48" s="1">
        <v>38</v>
      </c>
      <c r="I48" s="9"/>
      <c r="J48" s="13"/>
      <c r="K48" s="9"/>
    </row>
    <row r="49" spans="2:11" x14ac:dyDescent="0.55000000000000004">
      <c r="B49" s="1">
        <v>39</v>
      </c>
      <c r="C49" s="9"/>
      <c r="D49" s="13"/>
      <c r="E49" s="9"/>
      <c r="H49" s="1">
        <v>39</v>
      </c>
      <c r="I49" s="9"/>
      <c r="J49" s="13"/>
      <c r="K49" s="9"/>
    </row>
    <row r="50" spans="2:11" x14ac:dyDescent="0.55000000000000004">
      <c r="B50" s="1">
        <v>40</v>
      </c>
      <c r="C50" s="9"/>
      <c r="D50" s="13"/>
      <c r="E50" s="9"/>
      <c r="H50" s="1">
        <v>40</v>
      </c>
      <c r="I50" s="9"/>
      <c r="J50" s="13"/>
      <c r="K50" s="9"/>
    </row>
    <row r="51" spans="2:11" x14ac:dyDescent="0.55000000000000004">
      <c r="B51" s="1">
        <v>41</v>
      </c>
      <c r="C51" s="9"/>
      <c r="D51" s="13"/>
      <c r="E51" s="9"/>
      <c r="H51" s="1">
        <v>41</v>
      </c>
      <c r="I51" s="9"/>
      <c r="J51" s="13"/>
      <c r="K51" s="9"/>
    </row>
    <row r="52" spans="2:11" x14ac:dyDescent="0.55000000000000004">
      <c r="B52" s="1">
        <v>42</v>
      </c>
      <c r="C52" s="9"/>
      <c r="D52" s="13"/>
      <c r="E52" s="9"/>
      <c r="H52" s="1">
        <v>42</v>
      </c>
      <c r="I52" s="9"/>
      <c r="J52" s="13"/>
      <c r="K52" s="9"/>
    </row>
    <row r="53" spans="2:11" x14ac:dyDescent="0.55000000000000004">
      <c r="B53" s="1">
        <v>43</v>
      </c>
      <c r="C53" s="9"/>
      <c r="D53" s="13"/>
      <c r="E53" s="9"/>
      <c r="H53" s="1">
        <v>43</v>
      </c>
      <c r="I53" s="9"/>
      <c r="J53" s="13"/>
      <c r="K53" s="9"/>
    </row>
    <row r="54" spans="2:11" x14ac:dyDescent="0.55000000000000004">
      <c r="B54" s="1">
        <v>44</v>
      </c>
      <c r="C54" s="9"/>
      <c r="D54" s="13"/>
      <c r="E54" s="9"/>
      <c r="H54" s="1">
        <v>44</v>
      </c>
      <c r="I54" s="9"/>
      <c r="J54" s="13"/>
      <c r="K54" s="9"/>
    </row>
    <row r="55" spans="2:11" x14ac:dyDescent="0.55000000000000004">
      <c r="B55" s="1">
        <v>45</v>
      </c>
      <c r="C55" s="9"/>
      <c r="D55" s="13"/>
      <c r="E55" s="9"/>
      <c r="H55" s="1">
        <v>45</v>
      </c>
      <c r="I55" s="9"/>
      <c r="J55" s="13"/>
      <c r="K55" s="9"/>
    </row>
    <row r="56" spans="2:11" x14ac:dyDescent="0.55000000000000004">
      <c r="B56" s="1">
        <v>46</v>
      </c>
      <c r="C56" s="9"/>
      <c r="D56" s="13"/>
      <c r="E56" s="9"/>
      <c r="H56" s="1">
        <v>46</v>
      </c>
      <c r="I56" s="9"/>
      <c r="J56" s="13"/>
      <c r="K56" s="9"/>
    </row>
    <row r="57" spans="2:11" x14ac:dyDescent="0.55000000000000004">
      <c r="B57" s="1">
        <v>47</v>
      </c>
      <c r="C57" s="9"/>
      <c r="D57" s="13"/>
      <c r="E57" s="9"/>
      <c r="H57" s="1">
        <v>47</v>
      </c>
      <c r="I57" s="9"/>
      <c r="J57" s="13"/>
      <c r="K57" s="9"/>
    </row>
    <row r="58" spans="2:11" x14ac:dyDescent="0.55000000000000004">
      <c r="B58" s="1">
        <v>48</v>
      </c>
      <c r="C58" s="9"/>
      <c r="D58" s="13"/>
      <c r="E58" s="9"/>
      <c r="H58" s="1">
        <v>48</v>
      </c>
      <c r="I58" s="9"/>
      <c r="J58" s="13"/>
      <c r="K58" s="9"/>
    </row>
    <row r="59" spans="2:11" x14ac:dyDescent="0.55000000000000004">
      <c r="B59" s="1">
        <v>49</v>
      </c>
      <c r="C59" s="9"/>
      <c r="D59" s="13"/>
      <c r="E59" s="9"/>
      <c r="H59" s="1">
        <v>49</v>
      </c>
      <c r="I59" s="9"/>
      <c r="J59" s="13"/>
      <c r="K59" s="9"/>
    </row>
    <row r="60" spans="2:11" x14ac:dyDescent="0.55000000000000004">
      <c r="B60" s="1">
        <v>50</v>
      </c>
      <c r="C60" s="9"/>
      <c r="D60" s="13"/>
      <c r="E60" s="9"/>
      <c r="H60" s="1">
        <v>50</v>
      </c>
      <c r="I60" s="9"/>
      <c r="J60" s="13"/>
      <c r="K60" s="9"/>
    </row>
    <row r="61" spans="2:11" x14ac:dyDescent="0.55000000000000004">
      <c r="B61" s="1">
        <v>51</v>
      </c>
      <c r="C61" s="9"/>
      <c r="D61" s="13"/>
      <c r="E61" s="9"/>
      <c r="H61" s="1">
        <v>51</v>
      </c>
      <c r="I61" s="9"/>
      <c r="J61" s="13"/>
      <c r="K61" s="9"/>
    </row>
    <row r="62" spans="2:11" x14ac:dyDescent="0.55000000000000004">
      <c r="B62" s="1">
        <v>52</v>
      </c>
      <c r="C62" s="9"/>
      <c r="D62" s="13"/>
      <c r="E62" s="9"/>
      <c r="H62" s="1">
        <v>52</v>
      </c>
      <c r="I62" s="9"/>
      <c r="J62" s="13"/>
      <c r="K62" s="9"/>
    </row>
    <row r="63" spans="2:11" x14ac:dyDescent="0.55000000000000004">
      <c r="B63" s="1">
        <v>53</v>
      </c>
      <c r="C63" s="9"/>
      <c r="D63" s="13"/>
      <c r="E63" s="9"/>
      <c r="H63" s="1">
        <v>53</v>
      </c>
      <c r="I63" s="9"/>
      <c r="J63" s="13"/>
      <c r="K63" s="9"/>
    </row>
    <row r="64" spans="2:11" x14ac:dyDescent="0.55000000000000004">
      <c r="B64" s="1">
        <v>54</v>
      </c>
      <c r="C64" s="9"/>
      <c r="D64" s="13"/>
      <c r="E64" s="9"/>
      <c r="H64" s="1">
        <v>54</v>
      </c>
      <c r="I64" s="9"/>
      <c r="J64" s="13"/>
      <c r="K64" s="9"/>
    </row>
    <row r="65" spans="2:11" x14ac:dyDescent="0.55000000000000004">
      <c r="B65" s="1">
        <v>55</v>
      </c>
      <c r="C65" s="9"/>
      <c r="D65" s="13"/>
      <c r="E65" s="9"/>
      <c r="H65" s="1">
        <v>55</v>
      </c>
      <c r="I65" s="9"/>
      <c r="J65" s="13"/>
      <c r="K65" s="9"/>
    </row>
    <row r="66" spans="2:11" x14ac:dyDescent="0.55000000000000004">
      <c r="B66" s="1">
        <v>56</v>
      </c>
      <c r="C66" s="9"/>
      <c r="D66" s="13"/>
      <c r="E66" s="9"/>
      <c r="H66" s="1">
        <v>56</v>
      </c>
      <c r="I66" s="9"/>
      <c r="J66" s="13"/>
      <c r="K66" s="9"/>
    </row>
    <row r="67" spans="2:11" x14ac:dyDescent="0.55000000000000004">
      <c r="B67" s="1">
        <v>57</v>
      </c>
      <c r="C67" s="9"/>
      <c r="D67" s="13"/>
      <c r="E67" s="9"/>
      <c r="H67" s="1">
        <v>57</v>
      </c>
      <c r="I67" s="9"/>
      <c r="J67" s="13"/>
      <c r="K67" s="9"/>
    </row>
    <row r="68" spans="2:11" x14ac:dyDescent="0.55000000000000004">
      <c r="B68" s="1">
        <v>58</v>
      </c>
      <c r="C68" s="9"/>
      <c r="D68" s="13"/>
      <c r="E68" s="9"/>
      <c r="H68" s="1">
        <v>58</v>
      </c>
      <c r="I68" s="9"/>
      <c r="J68" s="13"/>
      <c r="K68" s="9"/>
    </row>
    <row r="69" spans="2:11" x14ac:dyDescent="0.55000000000000004">
      <c r="B69" s="1">
        <v>59</v>
      </c>
      <c r="C69" s="9"/>
      <c r="D69" s="13"/>
      <c r="E69" s="9"/>
      <c r="H69" s="1">
        <v>59</v>
      </c>
      <c r="I69" s="9"/>
      <c r="J69" s="13"/>
      <c r="K69" s="9"/>
    </row>
    <row r="70" spans="2:11" x14ac:dyDescent="0.55000000000000004">
      <c r="B70" s="1">
        <v>60</v>
      </c>
      <c r="C70" s="9"/>
      <c r="D70" s="13"/>
      <c r="E70" s="9"/>
      <c r="H70" s="1">
        <v>60</v>
      </c>
      <c r="I70" s="9"/>
      <c r="J70" s="13"/>
      <c r="K70" s="9"/>
    </row>
    <row r="71" spans="2:11" x14ac:dyDescent="0.55000000000000004">
      <c r="B71" s="1">
        <v>61</v>
      </c>
      <c r="C71" s="9"/>
      <c r="D71" s="13"/>
      <c r="E71" s="9"/>
      <c r="H71" s="1">
        <v>61</v>
      </c>
      <c r="I71" s="9"/>
      <c r="J71" s="13"/>
      <c r="K71" s="9"/>
    </row>
    <row r="72" spans="2:11" x14ac:dyDescent="0.55000000000000004">
      <c r="B72" s="1">
        <v>62</v>
      </c>
      <c r="C72" s="9"/>
      <c r="D72" s="13"/>
      <c r="E72" s="9"/>
      <c r="H72" s="1">
        <v>62</v>
      </c>
      <c r="I72" s="9"/>
      <c r="J72" s="13"/>
      <c r="K72" s="9"/>
    </row>
    <row r="73" spans="2:11" x14ac:dyDescent="0.55000000000000004">
      <c r="B73" s="1">
        <v>63</v>
      </c>
      <c r="C73" s="9"/>
      <c r="D73" s="13"/>
      <c r="E73" s="9"/>
      <c r="H73" s="1">
        <v>63</v>
      </c>
      <c r="I73" s="9"/>
      <c r="J73" s="13"/>
      <c r="K73" s="9"/>
    </row>
    <row r="74" spans="2:11" x14ac:dyDescent="0.55000000000000004">
      <c r="B74" s="1">
        <v>64</v>
      </c>
      <c r="C74" s="9"/>
      <c r="D74" s="13"/>
      <c r="E74" s="9"/>
      <c r="H74" s="1">
        <v>64</v>
      </c>
      <c r="I74" s="9"/>
      <c r="J74" s="13"/>
      <c r="K74" s="9"/>
    </row>
    <row r="75" spans="2:11" x14ac:dyDescent="0.55000000000000004">
      <c r="B75" s="1">
        <v>65</v>
      </c>
      <c r="C75" s="9"/>
      <c r="D75" s="13"/>
      <c r="E75" s="9"/>
      <c r="H75" s="1">
        <v>65</v>
      </c>
      <c r="I75" s="9"/>
      <c r="J75" s="13"/>
      <c r="K75" s="9"/>
    </row>
    <row r="76" spans="2:11" x14ac:dyDescent="0.55000000000000004">
      <c r="B76" s="1">
        <v>66</v>
      </c>
      <c r="C76" s="9"/>
      <c r="D76" s="13"/>
      <c r="E76" s="9"/>
      <c r="H76" s="1">
        <v>66</v>
      </c>
      <c r="I76" s="9"/>
      <c r="J76" s="13"/>
      <c r="K76" s="9"/>
    </row>
    <row r="77" spans="2:11" x14ac:dyDescent="0.55000000000000004">
      <c r="B77" s="1">
        <v>67</v>
      </c>
      <c r="C77" s="9"/>
      <c r="D77" s="13"/>
      <c r="E77" s="9"/>
      <c r="H77" s="1">
        <v>67</v>
      </c>
      <c r="I77" s="9"/>
      <c r="J77" s="13"/>
      <c r="K77" s="9"/>
    </row>
    <row r="78" spans="2:11" x14ac:dyDescent="0.55000000000000004">
      <c r="B78" s="1">
        <v>68</v>
      </c>
      <c r="C78" s="9"/>
      <c r="D78" s="13"/>
      <c r="E78" s="9"/>
      <c r="H78" s="1">
        <v>68</v>
      </c>
      <c r="I78" s="9"/>
      <c r="J78" s="13"/>
      <c r="K78" s="9"/>
    </row>
    <row r="79" spans="2:11" x14ac:dyDescent="0.55000000000000004">
      <c r="B79" s="1">
        <v>69</v>
      </c>
      <c r="C79" s="9"/>
      <c r="D79" s="13"/>
      <c r="E79" s="9"/>
      <c r="H79" s="1">
        <v>69</v>
      </c>
      <c r="I79" s="9"/>
      <c r="J79" s="13"/>
      <c r="K79" s="9"/>
    </row>
    <row r="80" spans="2:11" x14ac:dyDescent="0.55000000000000004">
      <c r="B80" s="1">
        <v>70</v>
      </c>
      <c r="C80" s="9"/>
      <c r="D80" s="13"/>
      <c r="E80" s="9"/>
      <c r="H80" s="1">
        <v>70</v>
      </c>
      <c r="I80" s="9"/>
      <c r="J80" s="13"/>
      <c r="K80" s="9"/>
    </row>
    <row r="81" spans="2:11" x14ac:dyDescent="0.55000000000000004">
      <c r="B81" s="1">
        <v>71</v>
      </c>
      <c r="C81" s="9"/>
      <c r="D81" s="13"/>
      <c r="E81" s="9"/>
      <c r="H81" s="1">
        <v>71</v>
      </c>
      <c r="I81" s="9"/>
      <c r="J81" s="13"/>
      <c r="K81" s="9"/>
    </row>
    <row r="82" spans="2:11" x14ac:dyDescent="0.55000000000000004">
      <c r="B82" s="1">
        <v>72</v>
      </c>
      <c r="C82" s="9"/>
      <c r="D82" s="13"/>
      <c r="E82" s="9"/>
      <c r="H82" s="1">
        <v>72</v>
      </c>
      <c r="I82" s="9"/>
      <c r="J82" s="13"/>
      <c r="K82" s="9"/>
    </row>
    <row r="83" spans="2:11" x14ac:dyDescent="0.55000000000000004">
      <c r="B83" s="1">
        <v>73</v>
      </c>
      <c r="C83" s="9"/>
      <c r="D83" s="13"/>
      <c r="E83" s="9"/>
      <c r="H83" s="1">
        <v>73</v>
      </c>
      <c r="I83" s="9"/>
      <c r="J83" s="13"/>
      <c r="K83" s="9"/>
    </row>
    <row r="84" spans="2:11" x14ac:dyDescent="0.55000000000000004">
      <c r="B84" s="1">
        <v>74</v>
      </c>
      <c r="C84" s="9"/>
      <c r="D84" s="13"/>
      <c r="E84" s="9"/>
      <c r="H84" s="1">
        <v>74</v>
      </c>
      <c r="I84" s="9"/>
      <c r="J84" s="13"/>
      <c r="K84" s="9"/>
    </row>
    <row r="85" spans="2:11" x14ac:dyDescent="0.55000000000000004">
      <c r="B85" s="1">
        <v>75</v>
      </c>
      <c r="C85" s="9"/>
      <c r="D85" s="13"/>
      <c r="E85" s="9"/>
      <c r="H85" s="1">
        <v>75</v>
      </c>
      <c r="I85" s="9"/>
      <c r="J85" s="13"/>
      <c r="K85" s="9"/>
    </row>
    <row r="86" spans="2:11" x14ac:dyDescent="0.55000000000000004">
      <c r="B86" s="1">
        <v>76</v>
      </c>
      <c r="C86" s="9"/>
      <c r="D86" s="13"/>
      <c r="E86" s="9"/>
      <c r="H86" s="1">
        <v>76</v>
      </c>
      <c r="I86" s="9"/>
      <c r="J86" s="13"/>
      <c r="K86" s="9"/>
    </row>
    <row r="87" spans="2:11" x14ac:dyDescent="0.55000000000000004">
      <c r="B87" s="1">
        <v>77</v>
      </c>
      <c r="C87" s="9"/>
      <c r="D87" s="13"/>
      <c r="E87" s="9"/>
      <c r="H87" s="1">
        <v>77</v>
      </c>
      <c r="I87" s="9"/>
      <c r="J87" s="13"/>
      <c r="K87" s="9"/>
    </row>
    <row r="88" spans="2:11" x14ac:dyDescent="0.55000000000000004">
      <c r="B88" s="1">
        <v>78</v>
      </c>
      <c r="C88" s="9"/>
      <c r="D88" s="13"/>
      <c r="E88" s="9"/>
      <c r="H88" s="1">
        <v>78</v>
      </c>
      <c r="I88" s="9"/>
      <c r="J88" s="13"/>
      <c r="K88" s="9"/>
    </row>
    <row r="89" spans="2:11" x14ac:dyDescent="0.55000000000000004">
      <c r="B89" s="1">
        <v>79</v>
      </c>
      <c r="C89" s="9"/>
      <c r="D89" s="13"/>
      <c r="E89" s="9"/>
      <c r="H89" s="1">
        <v>79</v>
      </c>
      <c r="I89" s="9"/>
      <c r="J89" s="13"/>
      <c r="K89" s="9"/>
    </row>
    <row r="90" spans="2:11" x14ac:dyDescent="0.55000000000000004">
      <c r="B90" s="1">
        <v>80</v>
      </c>
      <c r="C90" s="9"/>
      <c r="D90" s="13"/>
      <c r="E90" s="9"/>
      <c r="H90" s="1">
        <v>80</v>
      </c>
      <c r="I90" s="9"/>
      <c r="J90" s="13"/>
      <c r="K90" s="9"/>
    </row>
    <row r="91" spans="2:11" x14ac:dyDescent="0.55000000000000004">
      <c r="B91" s="1">
        <v>81</v>
      </c>
      <c r="C91" s="9"/>
      <c r="D91" s="13"/>
      <c r="E91" s="9"/>
      <c r="H91" s="1">
        <v>81</v>
      </c>
      <c r="I91" s="9"/>
      <c r="J91" s="13"/>
      <c r="K91" s="9"/>
    </row>
    <row r="92" spans="2:11" x14ac:dyDescent="0.55000000000000004">
      <c r="B92" s="1">
        <v>82</v>
      </c>
      <c r="C92" s="9"/>
      <c r="D92" s="13"/>
      <c r="E92" s="9"/>
      <c r="H92" s="1">
        <v>82</v>
      </c>
      <c r="I92" s="9"/>
      <c r="J92" s="13"/>
      <c r="K92" s="9"/>
    </row>
    <row r="93" spans="2:11" x14ac:dyDescent="0.55000000000000004">
      <c r="B93" s="1">
        <v>83</v>
      </c>
      <c r="C93" s="9"/>
      <c r="D93" s="13"/>
      <c r="E93" s="9"/>
      <c r="H93" s="1">
        <v>83</v>
      </c>
      <c r="I93" s="9"/>
      <c r="J93" s="13"/>
      <c r="K93" s="9"/>
    </row>
    <row r="94" spans="2:11" x14ac:dyDescent="0.55000000000000004">
      <c r="B94" s="1">
        <v>84</v>
      </c>
      <c r="C94" s="9"/>
      <c r="D94" s="13"/>
      <c r="E94" s="9"/>
      <c r="H94" s="1">
        <v>84</v>
      </c>
      <c r="I94" s="9"/>
      <c r="J94" s="13"/>
      <c r="K94" s="9"/>
    </row>
    <row r="95" spans="2:11" x14ac:dyDescent="0.55000000000000004">
      <c r="B95" s="1">
        <v>85</v>
      </c>
      <c r="C95" s="9"/>
      <c r="D95" s="13"/>
      <c r="E95" s="9"/>
      <c r="H95" s="1">
        <v>85</v>
      </c>
      <c r="I95" s="9"/>
      <c r="J95" s="13"/>
      <c r="K95" s="9"/>
    </row>
    <row r="96" spans="2:11" x14ac:dyDescent="0.55000000000000004">
      <c r="B96" s="1">
        <v>86</v>
      </c>
      <c r="C96" s="9"/>
      <c r="D96" s="13"/>
      <c r="E96" s="9"/>
      <c r="H96" s="1">
        <v>86</v>
      </c>
      <c r="I96" s="9"/>
      <c r="J96" s="13"/>
      <c r="K96" s="9"/>
    </row>
    <row r="97" spans="2:11" x14ac:dyDescent="0.55000000000000004">
      <c r="B97" s="1">
        <v>87</v>
      </c>
      <c r="C97" s="9"/>
      <c r="D97" s="13"/>
      <c r="E97" s="9"/>
      <c r="H97" s="1">
        <v>87</v>
      </c>
      <c r="I97" s="9"/>
      <c r="J97" s="13"/>
      <c r="K97" s="9"/>
    </row>
    <row r="98" spans="2:11" x14ac:dyDescent="0.55000000000000004">
      <c r="B98" s="1">
        <v>88</v>
      </c>
      <c r="C98" s="9"/>
      <c r="D98" s="13"/>
      <c r="E98" s="9"/>
      <c r="H98" s="1">
        <v>88</v>
      </c>
      <c r="I98" s="9"/>
      <c r="J98" s="13"/>
      <c r="K98" s="9"/>
    </row>
    <row r="99" spans="2:11" x14ac:dyDescent="0.55000000000000004">
      <c r="B99" s="1">
        <v>89</v>
      </c>
      <c r="C99" s="9"/>
      <c r="D99" s="13"/>
      <c r="E99" s="9"/>
      <c r="H99" s="1">
        <v>89</v>
      </c>
      <c r="I99" s="9"/>
      <c r="J99" s="13"/>
      <c r="K99" s="9"/>
    </row>
    <row r="100" spans="2:11" x14ac:dyDescent="0.55000000000000004">
      <c r="B100" s="1">
        <v>90</v>
      </c>
      <c r="C100" s="9"/>
      <c r="D100" s="13"/>
      <c r="E100" s="9"/>
      <c r="H100" s="1">
        <v>90</v>
      </c>
      <c r="I100" s="9"/>
      <c r="J100" s="13"/>
      <c r="K100" s="9"/>
    </row>
    <row r="101" spans="2:11" x14ac:dyDescent="0.55000000000000004">
      <c r="B101" s="1">
        <v>91</v>
      </c>
      <c r="C101" s="9"/>
      <c r="D101" s="13"/>
      <c r="E101" s="9"/>
      <c r="H101" s="1">
        <v>91</v>
      </c>
      <c r="I101" s="9"/>
      <c r="J101" s="13"/>
      <c r="K101" s="9"/>
    </row>
    <row r="102" spans="2:11" x14ac:dyDescent="0.55000000000000004">
      <c r="B102" s="1">
        <v>92</v>
      </c>
      <c r="C102" s="9"/>
      <c r="D102" s="13"/>
      <c r="E102" s="9"/>
      <c r="H102" s="1">
        <v>92</v>
      </c>
      <c r="I102" s="9"/>
      <c r="J102" s="13"/>
      <c r="K102" s="9"/>
    </row>
    <row r="103" spans="2:11" x14ac:dyDescent="0.55000000000000004">
      <c r="B103" s="1">
        <v>93</v>
      </c>
      <c r="C103" s="9"/>
      <c r="D103" s="13"/>
      <c r="E103" s="9"/>
      <c r="H103" s="1">
        <v>93</v>
      </c>
      <c r="I103" s="9"/>
      <c r="J103" s="13"/>
      <c r="K103" s="9"/>
    </row>
    <row r="104" spans="2:11" x14ac:dyDescent="0.55000000000000004">
      <c r="B104" s="1">
        <v>94</v>
      </c>
      <c r="C104" s="9"/>
      <c r="D104" s="13"/>
      <c r="E104" s="9"/>
      <c r="H104" s="1">
        <v>94</v>
      </c>
      <c r="I104" s="9"/>
      <c r="J104" s="13"/>
      <c r="K104" s="9"/>
    </row>
    <row r="105" spans="2:11" x14ac:dyDescent="0.55000000000000004">
      <c r="B105" s="1">
        <v>95</v>
      </c>
      <c r="C105" s="9"/>
      <c r="D105" s="13"/>
      <c r="E105" s="9"/>
      <c r="H105" s="1">
        <v>95</v>
      </c>
      <c r="I105" s="9"/>
      <c r="J105" s="13"/>
      <c r="K105" s="9"/>
    </row>
    <row r="106" spans="2:11" x14ac:dyDescent="0.55000000000000004">
      <c r="B106" s="1">
        <v>96</v>
      </c>
      <c r="C106" s="9"/>
      <c r="D106" s="13"/>
      <c r="E106" s="9"/>
      <c r="H106" s="1">
        <v>96</v>
      </c>
      <c r="I106" s="9"/>
      <c r="J106" s="13"/>
      <c r="K106" s="9"/>
    </row>
    <row r="107" spans="2:11" x14ac:dyDescent="0.55000000000000004">
      <c r="B107" s="1">
        <v>97</v>
      </c>
      <c r="C107" s="9"/>
      <c r="D107" s="13"/>
      <c r="E107" s="9"/>
      <c r="H107" s="1">
        <v>97</v>
      </c>
      <c r="I107" s="9"/>
      <c r="J107" s="13"/>
      <c r="K107" s="9"/>
    </row>
    <row r="108" spans="2:11" x14ac:dyDescent="0.55000000000000004">
      <c r="B108" s="1">
        <v>98</v>
      </c>
      <c r="C108" s="9"/>
      <c r="D108" s="13"/>
      <c r="E108" s="9"/>
      <c r="H108" s="1">
        <v>98</v>
      </c>
      <c r="I108" s="9"/>
      <c r="J108" s="13"/>
      <c r="K108" s="9"/>
    </row>
    <row r="109" spans="2:11" x14ac:dyDescent="0.55000000000000004">
      <c r="B109" s="1">
        <v>99</v>
      </c>
      <c r="C109" s="9"/>
      <c r="D109" s="13"/>
      <c r="E109" s="9"/>
      <c r="H109" s="1">
        <v>99</v>
      </c>
      <c r="I109" s="9"/>
      <c r="J109" s="13"/>
      <c r="K109" s="9"/>
    </row>
    <row r="110" spans="2:11" x14ac:dyDescent="0.55000000000000004">
      <c r="B110" s="1">
        <v>100</v>
      </c>
      <c r="C110" s="9"/>
      <c r="D110" s="13"/>
      <c r="E110" s="9"/>
      <c r="H110" s="1">
        <v>100</v>
      </c>
      <c r="I110" s="9"/>
      <c r="J110" s="13"/>
      <c r="K110" s="9"/>
    </row>
    <row r="111" spans="2:11" x14ac:dyDescent="0.55000000000000004">
      <c r="B111" s="1">
        <v>101</v>
      </c>
      <c r="C111" s="9"/>
      <c r="D111" s="13"/>
      <c r="E111" s="9"/>
      <c r="H111" s="1">
        <v>101</v>
      </c>
      <c r="I111" s="9"/>
      <c r="J111" s="13"/>
      <c r="K111" s="9"/>
    </row>
    <row r="112" spans="2:11" x14ac:dyDescent="0.55000000000000004">
      <c r="B112" s="1">
        <v>102</v>
      </c>
      <c r="C112" s="9"/>
      <c r="D112" s="13"/>
      <c r="E112" s="9"/>
      <c r="H112" s="1">
        <v>102</v>
      </c>
      <c r="I112" s="9"/>
      <c r="J112" s="13"/>
      <c r="K112" s="9"/>
    </row>
    <row r="113" spans="2:11" x14ac:dyDescent="0.55000000000000004">
      <c r="B113" s="1">
        <v>103</v>
      </c>
      <c r="C113" s="9"/>
      <c r="D113" s="13"/>
      <c r="E113" s="9"/>
      <c r="H113" s="1">
        <v>103</v>
      </c>
      <c r="I113" s="9"/>
      <c r="J113" s="13"/>
      <c r="K113" s="9"/>
    </row>
    <row r="114" spans="2:11" x14ac:dyDescent="0.55000000000000004">
      <c r="B114" s="1">
        <v>104</v>
      </c>
      <c r="C114" s="9"/>
      <c r="D114" s="13"/>
      <c r="E114" s="9"/>
      <c r="H114" s="1">
        <v>104</v>
      </c>
      <c r="I114" s="9"/>
      <c r="J114" s="13"/>
      <c r="K114" s="9"/>
    </row>
    <row r="115" spans="2:11" x14ac:dyDescent="0.55000000000000004">
      <c r="B115" s="1">
        <v>105</v>
      </c>
      <c r="C115" s="9"/>
      <c r="D115" s="13"/>
      <c r="E115" s="9"/>
      <c r="H115" s="1">
        <v>105</v>
      </c>
      <c r="I115" s="9"/>
      <c r="J115" s="13"/>
      <c r="K115" s="9"/>
    </row>
    <row r="116" spans="2:11" x14ac:dyDescent="0.55000000000000004">
      <c r="B116" s="1">
        <v>106</v>
      </c>
      <c r="C116" s="9"/>
      <c r="D116" s="13"/>
      <c r="E116" s="9"/>
      <c r="H116" s="1">
        <v>106</v>
      </c>
      <c r="I116" s="9"/>
      <c r="J116" s="13"/>
      <c r="K116" s="9"/>
    </row>
    <row r="117" spans="2:11" x14ac:dyDescent="0.55000000000000004">
      <c r="B117" s="1">
        <v>107</v>
      </c>
      <c r="C117" s="9"/>
      <c r="D117" s="13"/>
      <c r="E117" s="9"/>
      <c r="H117" s="1">
        <v>107</v>
      </c>
      <c r="I117" s="9"/>
      <c r="J117" s="13"/>
      <c r="K117" s="9"/>
    </row>
    <row r="118" spans="2:11" x14ac:dyDescent="0.55000000000000004">
      <c r="B118" s="1">
        <v>108</v>
      </c>
      <c r="C118" s="9"/>
      <c r="D118" s="13"/>
      <c r="E118" s="9"/>
      <c r="H118" s="1">
        <v>108</v>
      </c>
      <c r="I118" s="9"/>
      <c r="J118" s="13"/>
      <c r="K118" s="9"/>
    </row>
    <row r="119" spans="2:11" x14ac:dyDescent="0.55000000000000004">
      <c r="B119" s="1">
        <v>109</v>
      </c>
      <c r="C119" s="9"/>
      <c r="D119" s="13"/>
      <c r="E119" s="9"/>
      <c r="H119" s="1">
        <v>109</v>
      </c>
      <c r="I119" s="9"/>
      <c r="J119" s="13"/>
      <c r="K119" s="9"/>
    </row>
    <row r="120" spans="2:11" x14ac:dyDescent="0.55000000000000004">
      <c r="B120" s="1">
        <v>110</v>
      </c>
      <c r="C120" s="9"/>
      <c r="D120" s="13"/>
      <c r="E120" s="9"/>
      <c r="H120" s="1">
        <v>110</v>
      </c>
      <c r="I120" s="9"/>
      <c r="J120" s="13"/>
      <c r="K120" s="9"/>
    </row>
    <row r="121" spans="2:11" x14ac:dyDescent="0.55000000000000004">
      <c r="B121" s="1">
        <v>111</v>
      </c>
      <c r="C121" s="9"/>
      <c r="D121" s="13"/>
      <c r="E121" s="9"/>
      <c r="H121" s="1">
        <v>111</v>
      </c>
      <c r="I121" s="9"/>
      <c r="J121" s="13"/>
      <c r="K121" s="9"/>
    </row>
    <row r="122" spans="2:11" x14ac:dyDescent="0.55000000000000004">
      <c r="B122" s="1">
        <v>112</v>
      </c>
      <c r="C122" s="9"/>
      <c r="D122" s="13"/>
      <c r="E122" s="9"/>
      <c r="H122" s="1">
        <v>112</v>
      </c>
      <c r="I122" s="9"/>
      <c r="J122" s="13"/>
      <c r="K122" s="9"/>
    </row>
    <row r="123" spans="2:11" x14ac:dyDescent="0.55000000000000004">
      <c r="B123" s="1">
        <v>113</v>
      </c>
      <c r="C123" s="9"/>
      <c r="D123" s="13"/>
      <c r="E123" s="9"/>
      <c r="H123" s="1">
        <v>113</v>
      </c>
      <c r="I123" s="9"/>
      <c r="J123" s="13"/>
      <c r="K123" s="9"/>
    </row>
    <row r="124" spans="2:11" x14ac:dyDescent="0.55000000000000004">
      <c r="B124" s="1">
        <v>114</v>
      </c>
      <c r="C124" s="9"/>
      <c r="D124" s="13"/>
      <c r="E124" s="9"/>
      <c r="H124" s="1">
        <v>114</v>
      </c>
      <c r="I124" s="9"/>
      <c r="J124" s="13"/>
      <c r="K124" s="9"/>
    </row>
    <row r="125" spans="2:11" x14ac:dyDescent="0.55000000000000004">
      <c r="B125" s="1">
        <v>115</v>
      </c>
      <c r="C125" s="9"/>
      <c r="D125" s="13"/>
      <c r="E125" s="9"/>
      <c r="H125" s="1">
        <v>115</v>
      </c>
      <c r="I125" s="9"/>
      <c r="J125" s="13"/>
      <c r="K125" s="9"/>
    </row>
    <row r="126" spans="2:11" x14ac:dyDescent="0.55000000000000004">
      <c r="B126" s="1">
        <v>116</v>
      </c>
      <c r="C126" s="9"/>
      <c r="D126" s="13"/>
      <c r="E126" s="9"/>
      <c r="H126" s="1">
        <v>116</v>
      </c>
      <c r="I126" s="9"/>
      <c r="J126" s="13"/>
      <c r="K126" s="9"/>
    </row>
    <row r="127" spans="2:11" x14ac:dyDescent="0.55000000000000004">
      <c r="B127" s="1">
        <v>117</v>
      </c>
      <c r="C127" s="9"/>
      <c r="D127" s="13"/>
      <c r="E127" s="9"/>
      <c r="H127" s="1">
        <v>117</v>
      </c>
      <c r="I127" s="9"/>
      <c r="J127" s="13"/>
      <c r="K127" s="9"/>
    </row>
    <row r="128" spans="2:11" x14ac:dyDescent="0.55000000000000004">
      <c r="B128" s="1">
        <v>118</v>
      </c>
      <c r="C128" s="9"/>
      <c r="D128" s="13"/>
      <c r="E128" s="9"/>
      <c r="H128" s="1">
        <v>118</v>
      </c>
      <c r="I128" s="9"/>
      <c r="J128" s="13"/>
      <c r="K128" s="9"/>
    </row>
    <row r="129" spans="2:11" x14ac:dyDescent="0.55000000000000004">
      <c r="B129" s="1">
        <v>119</v>
      </c>
      <c r="C129" s="9"/>
      <c r="D129" s="13"/>
      <c r="E129" s="9"/>
      <c r="H129" s="1">
        <v>119</v>
      </c>
      <c r="I129" s="9"/>
      <c r="J129" s="13"/>
      <c r="K129" s="9"/>
    </row>
    <row r="130" spans="2:11" x14ac:dyDescent="0.55000000000000004">
      <c r="B130" s="1">
        <v>120</v>
      </c>
      <c r="C130" s="9"/>
      <c r="D130" s="13"/>
      <c r="E130" s="9"/>
      <c r="H130" s="1">
        <v>120</v>
      </c>
      <c r="I130" s="9"/>
      <c r="J130" s="13"/>
      <c r="K130" s="9"/>
    </row>
    <row r="131" spans="2:11" x14ac:dyDescent="0.55000000000000004">
      <c r="B131" s="1">
        <v>121</v>
      </c>
      <c r="C131" s="9"/>
      <c r="D131" s="13"/>
      <c r="E131" s="9"/>
      <c r="H131" s="1">
        <v>121</v>
      </c>
      <c r="I131" s="9"/>
      <c r="J131" s="13"/>
      <c r="K131" s="9"/>
    </row>
    <row r="132" spans="2:11" x14ac:dyDescent="0.55000000000000004">
      <c r="B132" s="1">
        <v>122</v>
      </c>
      <c r="C132" s="9"/>
      <c r="D132" s="13"/>
      <c r="E132" s="9"/>
      <c r="H132" s="1">
        <v>122</v>
      </c>
      <c r="I132" s="9"/>
      <c r="J132" s="13"/>
      <c r="K132" s="9"/>
    </row>
    <row r="133" spans="2:11" x14ac:dyDescent="0.55000000000000004">
      <c r="B133" s="1">
        <v>123</v>
      </c>
      <c r="C133" s="9"/>
      <c r="D133" s="13"/>
      <c r="E133" s="9"/>
      <c r="H133" s="1">
        <v>123</v>
      </c>
      <c r="I133" s="9"/>
      <c r="J133" s="13"/>
      <c r="K133" s="9"/>
    </row>
    <row r="134" spans="2:11" x14ac:dyDescent="0.55000000000000004">
      <c r="B134" s="1">
        <v>124</v>
      </c>
      <c r="C134" s="9"/>
      <c r="D134" s="13"/>
      <c r="E134" s="9"/>
      <c r="H134" s="1">
        <v>124</v>
      </c>
      <c r="I134" s="9"/>
      <c r="J134" s="13"/>
      <c r="K134" s="9"/>
    </row>
    <row r="135" spans="2:11" x14ac:dyDescent="0.55000000000000004">
      <c r="B135" s="1">
        <v>125</v>
      </c>
      <c r="C135" s="9"/>
      <c r="D135" s="13"/>
      <c r="E135" s="9"/>
      <c r="H135" s="1">
        <v>125</v>
      </c>
      <c r="I135" s="9"/>
      <c r="J135" s="13"/>
      <c r="K135" s="9"/>
    </row>
    <row r="136" spans="2:11" x14ac:dyDescent="0.55000000000000004">
      <c r="B136" s="1">
        <v>126</v>
      </c>
      <c r="C136" s="9"/>
      <c r="D136" s="13"/>
      <c r="E136" s="9"/>
      <c r="H136" s="1">
        <v>126</v>
      </c>
      <c r="I136" s="9"/>
      <c r="J136" s="13"/>
      <c r="K136" s="9"/>
    </row>
    <row r="137" spans="2:11" x14ac:dyDescent="0.55000000000000004">
      <c r="B137" s="1">
        <v>127</v>
      </c>
      <c r="C137" s="9"/>
      <c r="D137" s="13"/>
      <c r="E137" s="9"/>
      <c r="H137" s="1">
        <v>127</v>
      </c>
      <c r="I137" s="9"/>
      <c r="J137" s="13"/>
      <c r="K137" s="9"/>
    </row>
    <row r="138" spans="2:11" x14ac:dyDescent="0.55000000000000004">
      <c r="B138" s="1">
        <v>128</v>
      </c>
      <c r="C138" s="9"/>
      <c r="D138" s="13"/>
      <c r="E138" s="9"/>
      <c r="H138" s="1">
        <v>128</v>
      </c>
      <c r="I138" s="9"/>
      <c r="J138" s="13"/>
      <c r="K138" s="9"/>
    </row>
    <row r="139" spans="2:11" x14ac:dyDescent="0.55000000000000004">
      <c r="B139" s="1">
        <v>129</v>
      </c>
      <c r="C139" s="9"/>
      <c r="D139" s="13"/>
      <c r="E139" s="9"/>
      <c r="H139" s="1">
        <v>129</v>
      </c>
      <c r="I139" s="9"/>
      <c r="J139" s="13"/>
      <c r="K139" s="9"/>
    </row>
    <row r="140" spans="2:11" x14ac:dyDescent="0.55000000000000004">
      <c r="B140" s="1">
        <v>130</v>
      </c>
      <c r="C140" s="9"/>
      <c r="D140" s="13"/>
      <c r="E140" s="9"/>
      <c r="H140" s="1">
        <v>130</v>
      </c>
      <c r="I140" s="9"/>
      <c r="J140" s="13"/>
      <c r="K140" s="9"/>
    </row>
    <row r="141" spans="2:11" x14ac:dyDescent="0.55000000000000004">
      <c r="B141" s="1">
        <v>131</v>
      </c>
      <c r="C141" s="9"/>
      <c r="D141" s="13"/>
      <c r="E141" s="9"/>
      <c r="H141" s="1">
        <v>131</v>
      </c>
      <c r="I141" s="9"/>
      <c r="J141" s="13"/>
      <c r="K141" s="9"/>
    </row>
    <row r="142" spans="2:11" x14ac:dyDescent="0.55000000000000004">
      <c r="B142" s="1">
        <v>132</v>
      </c>
      <c r="C142" s="9"/>
      <c r="D142" s="13"/>
      <c r="E142" s="9"/>
      <c r="H142" s="1">
        <v>132</v>
      </c>
      <c r="I142" s="9"/>
      <c r="J142" s="13"/>
      <c r="K142" s="9"/>
    </row>
    <row r="143" spans="2:11" x14ac:dyDescent="0.55000000000000004">
      <c r="B143" s="1">
        <v>133</v>
      </c>
      <c r="C143" s="9"/>
      <c r="D143" s="13"/>
      <c r="E143" s="9"/>
      <c r="H143" s="1">
        <v>133</v>
      </c>
      <c r="I143" s="9"/>
      <c r="J143" s="13"/>
      <c r="K143" s="9"/>
    </row>
    <row r="144" spans="2:11" x14ac:dyDescent="0.55000000000000004">
      <c r="B144" s="1">
        <v>134</v>
      </c>
      <c r="C144" s="9"/>
      <c r="D144" s="13"/>
      <c r="E144" s="9"/>
      <c r="H144" s="1">
        <v>134</v>
      </c>
      <c r="I144" s="9"/>
      <c r="J144" s="13"/>
      <c r="K144" s="9"/>
    </row>
    <row r="145" spans="2:11" x14ac:dyDescent="0.55000000000000004">
      <c r="B145" s="1">
        <v>135</v>
      </c>
      <c r="C145" s="9"/>
      <c r="D145" s="13"/>
      <c r="E145" s="9"/>
      <c r="H145" s="1">
        <v>135</v>
      </c>
      <c r="I145" s="9"/>
      <c r="J145" s="13"/>
      <c r="K145" s="9"/>
    </row>
    <row r="146" spans="2:11" x14ac:dyDescent="0.55000000000000004">
      <c r="B146" s="1">
        <v>136</v>
      </c>
      <c r="C146" s="9"/>
      <c r="D146" s="13"/>
      <c r="E146" s="9"/>
      <c r="H146" s="1">
        <v>136</v>
      </c>
      <c r="I146" s="9"/>
      <c r="J146" s="13"/>
      <c r="K146" s="9"/>
    </row>
    <row r="147" spans="2:11" x14ac:dyDescent="0.55000000000000004">
      <c r="B147" s="1">
        <v>137</v>
      </c>
      <c r="C147" s="9"/>
      <c r="D147" s="13"/>
      <c r="E147" s="9"/>
      <c r="H147" s="1">
        <v>137</v>
      </c>
      <c r="I147" s="9"/>
      <c r="J147" s="13"/>
      <c r="K147" s="9"/>
    </row>
    <row r="148" spans="2:11" x14ac:dyDescent="0.55000000000000004">
      <c r="B148" s="1">
        <v>138</v>
      </c>
      <c r="C148" s="9"/>
      <c r="D148" s="13"/>
      <c r="E148" s="9"/>
      <c r="H148" s="1">
        <v>138</v>
      </c>
      <c r="I148" s="9"/>
      <c r="J148" s="13"/>
      <c r="K148" s="9"/>
    </row>
    <row r="149" spans="2:11" x14ac:dyDescent="0.55000000000000004">
      <c r="B149" s="1">
        <v>139</v>
      </c>
      <c r="C149" s="9"/>
      <c r="D149" s="13"/>
      <c r="E149" s="9"/>
      <c r="H149" s="1">
        <v>139</v>
      </c>
      <c r="I149" s="9"/>
      <c r="J149" s="13"/>
      <c r="K149" s="9"/>
    </row>
    <row r="150" spans="2:11" x14ac:dyDescent="0.55000000000000004">
      <c r="B150" s="1">
        <v>140</v>
      </c>
      <c r="C150" s="9"/>
      <c r="D150" s="13"/>
      <c r="E150" s="9"/>
      <c r="H150" s="1">
        <v>140</v>
      </c>
      <c r="I150" s="9"/>
      <c r="J150" s="13"/>
      <c r="K150" s="9"/>
    </row>
    <row r="151" spans="2:11" x14ac:dyDescent="0.55000000000000004">
      <c r="B151" s="1">
        <v>141</v>
      </c>
      <c r="C151" s="9"/>
      <c r="D151" s="13"/>
      <c r="E151" s="9"/>
      <c r="H151" s="1">
        <v>141</v>
      </c>
      <c r="I151" s="9"/>
      <c r="J151" s="13"/>
      <c r="K151" s="9"/>
    </row>
    <row r="152" spans="2:11" x14ac:dyDescent="0.55000000000000004">
      <c r="B152" s="1">
        <v>142</v>
      </c>
      <c r="C152" s="9"/>
      <c r="D152" s="13"/>
      <c r="E152" s="9"/>
      <c r="H152" s="1">
        <v>142</v>
      </c>
      <c r="I152" s="9"/>
      <c r="J152" s="13"/>
      <c r="K152" s="9"/>
    </row>
    <row r="153" spans="2:11" x14ac:dyDescent="0.55000000000000004">
      <c r="B153" s="1">
        <v>143</v>
      </c>
      <c r="C153" s="9"/>
      <c r="D153" s="13"/>
      <c r="E153" s="9"/>
      <c r="H153" s="1">
        <v>143</v>
      </c>
      <c r="I153" s="9"/>
      <c r="J153" s="13"/>
      <c r="K153" s="9"/>
    </row>
    <row r="154" spans="2:11" x14ac:dyDescent="0.55000000000000004">
      <c r="B154" s="1">
        <v>144</v>
      </c>
      <c r="C154" s="9"/>
      <c r="D154" s="13"/>
      <c r="E154" s="9"/>
      <c r="H154" s="1">
        <v>144</v>
      </c>
      <c r="I154" s="9"/>
      <c r="J154" s="13"/>
      <c r="K154" s="9"/>
    </row>
    <row r="155" spans="2:11" x14ac:dyDescent="0.55000000000000004">
      <c r="B155" s="1">
        <v>145</v>
      </c>
      <c r="C155" s="9"/>
      <c r="D155" s="13"/>
      <c r="E155" s="9"/>
      <c r="H155" s="1">
        <v>145</v>
      </c>
      <c r="I155" s="9"/>
      <c r="J155" s="13"/>
      <c r="K155" s="9"/>
    </row>
    <row r="156" spans="2:11" x14ac:dyDescent="0.55000000000000004">
      <c r="B156" s="1">
        <v>146</v>
      </c>
      <c r="C156" s="9"/>
      <c r="D156" s="13"/>
      <c r="E156" s="9"/>
      <c r="H156" s="1">
        <v>146</v>
      </c>
      <c r="I156" s="9"/>
      <c r="J156" s="13"/>
      <c r="K156" s="9"/>
    </row>
    <row r="157" spans="2:11" x14ac:dyDescent="0.55000000000000004">
      <c r="B157" s="1">
        <v>147</v>
      </c>
      <c r="C157" s="9"/>
      <c r="D157" s="13"/>
      <c r="E157" s="9"/>
      <c r="H157" s="1">
        <v>147</v>
      </c>
      <c r="I157" s="9"/>
      <c r="J157" s="13"/>
      <c r="K157" s="9"/>
    </row>
    <row r="158" spans="2:11" x14ac:dyDescent="0.55000000000000004">
      <c r="B158" s="1">
        <v>148</v>
      </c>
      <c r="C158" s="9"/>
      <c r="D158" s="13"/>
      <c r="E158" s="9"/>
      <c r="H158" s="1">
        <v>148</v>
      </c>
      <c r="I158" s="9"/>
      <c r="J158" s="13"/>
      <c r="K158" s="9"/>
    </row>
    <row r="159" spans="2:11" x14ac:dyDescent="0.55000000000000004">
      <c r="B159" s="1">
        <v>149</v>
      </c>
      <c r="C159" s="9"/>
      <c r="D159" s="13"/>
      <c r="E159" s="9"/>
      <c r="H159" s="1">
        <v>149</v>
      </c>
      <c r="I159" s="9"/>
      <c r="J159" s="13"/>
      <c r="K159" s="9"/>
    </row>
    <row r="160" spans="2:11" x14ac:dyDescent="0.55000000000000004">
      <c r="B160" s="1">
        <v>150</v>
      </c>
      <c r="C160" s="9"/>
      <c r="D160" s="13"/>
      <c r="E160" s="9"/>
      <c r="H160" s="1">
        <v>150</v>
      </c>
      <c r="I160" s="9"/>
      <c r="J160" s="13"/>
      <c r="K160" s="9"/>
    </row>
    <row r="161" spans="2:11" x14ac:dyDescent="0.55000000000000004">
      <c r="B161" s="1">
        <v>151</v>
      </c>
      <c r="C161" s="9"/>
      <c r="D161" s="13"/>
      <c r="E161" s="9"/>
      <c r="H161" s="1">
        <v>151</v>
      </c>
      <c r="I161" s="9"/>
      <c r="J161" s="13"/>
      <c r="K161" s="9"/>
    </row>
    <row r="162" spans="2:11" x14ac:dyDescent="0.55000000000000004">
      <c r="B162" s="1">
        <v>152</v>
      </c>
      <c r="C162" s="9"/>
      <c r="D162" s="13"/>
      <c r="E162" s="9"/>
      <c r="H162" s="1">
        <v>152</v>
      </c>
      <c r="I162" s="9"/>
      <c r="J162" s="13"/>
      <c r="K162" s="9"/>
    </row>
    <row r="163" spans="2:11" x14ac:dyDescent="0.55000000000000004">
      <c r="B163" s="1">
        <v>153</v>
      </c>
      <c r="C163" s="9"/>
      <c r="D163" s="13"/>
      <c r="E163" s="9"/>
      <c r="H163" s="1">
        <v>153</v>
      </c>
      <c r="I163" s="9"/>
      <c r="J163" s="13"/>
      <c r="K163" s="9"/>
    </row>
    <row r="164" spans="2:11" x14ac:dyDescent="0.55000000000000004">
      <c r="B164" s="1">
        <v>154</v>
      </c>
      <c r="C164" s="9"/>
      <c r="D164" s="13"/>
      <c r="E164" s="9"/>
      <c r="H164" s="1">
        <v>154</v>
      </c>
      <c r="I164" s="9"/>
      <c r="J164" s="13"/>
      <c r="K164" s="9"/>
    </row>
    <row r="165" spans="2:11" x14ac:dyDescent="0.55000000000000004">
      <c r="B165" s="1">
        <v>155</v>
      </c>
      <c r="C165" s="9"/>
      <c r="D165" s="13"/>
      <c r="E165" s="9"/>
      <c r="H165" s="1">
        <v>155</v>
      </c>
      <c r="I165" s="9"/>
      <c r="J165" s="13"/>
      <c r="K165" s="9"/>
    </row>
    <row r="166" spans="2:11" x14ac:dyDescent="0.55000000000000004">
      <c r="B166" s="1">
        <v>156</v>
      </c>
      <c r="C166" s="9"/>
      <c r="D166" s="13"/>
      <c r="E166" s="9"/>
      <c r="H166" s="1">
        <v>156</v>
      </c>
      <c r="I166" s="9"/>
      <c r="J166" s="13"/>
      <c r="K166" s="9"/>
    </row>
    <row r="167" spans="2:11" x14ac:dyDescent="0.55000000000000004">
      <c r="B167" s="1">
        <v>157</v>
      </c>
      <c r="C167" s="9"/>
      <c r="D167" s="13"/>
      <c r="E167" s="9"/>
      <c r="H167" s="1">
        <v>157</v>
      </c>
      <c r="I167" s="9"/>
      <c r="J167" s="13"/>
      <c r="K167" s="9"/>
    </row>
    <row r="168" spans="2:11" x14ac:dyDescent="0.55000000000000004">
      <c r="B168" s="1">
        <v>158</v>
      </c>
      <c r="C168" s="9"/>
      <c r="D168" s="13"/>
      <c r="E168" s="9"/>
      <c r="H168" s="1">
        <v>158</v>
      </c>
      <c r="I168" s="9"/>
      <c r="J168" s="13"/>
      <c r="K168" s="9"/>
    </row>
    <row r="169" spans="2:11" x14ac:dyDescent="0.55000000000000004">
      <c r="B169" s="1">
        <v>159</v>
      </c>
      <c r="C169" s="9"/>
      <c r="D169" s="13"/>
      <c r="E169" s="9"/>
      <c r="H169" s="1">
        <v>159</v>
      </c>
      <c r="I169" s="9"/>
      <c r="J169" s="13"/>
      <c r="K169" s="9"/>
    </row>
    <row r="170" spans="2:11" x14ac:dyDescent="0.55000000000000004">
      <c r="B170" s="1">
        <v>160</v>
      </c>
      <c r="C170" s="9"/>
      <c r="D170" s="13"/>
      <c r="E170" s="9"/>
      <c r="H170" s="1">
        <v>160</v>
      </c>
      <c r="I170" s="9"/>
      <c r="J170" s="13"/>
      <c r="K170" s="9"/>
    </row>
    <row r="171" spans="2:11" x14ac:dyDescent="0.55000000000000004">
      <c r="B171" s="1">
        <v>161</v>
      </c>
      <c r="C171" s="9"/>
      <c r="D171" s="13"/>
      <c r="E171" s="9"/>
      <c r="H171" s="1">
        <v>161</v>
      </c>
      <c r="I171" s="9"/>
      <c r="J171" s="13"/>
      <c r="K171" s="9"/>
    </row>
    <row r="172" spans="2:11" x14ac:dyDescent="0.55000000000000004">
      <c r="B172" s="1">
        <v>162</v>
      </c>
      <c r="C172" s="9"/>
      <c r="D172" s="13"/>
      <c r="E172" s="9"/>
      <c r="H172" s="1">
        <v>162</v>
      </c>
      <c r="I172" s="9"/>
      <c r="J172" s="13"/>
      <c r="K172" s="9"/>
    </row>
    <row r="173" spans="2:11" x14ac:dyDescent="0.55000000000000004">
      <c r="B173" s="1">
        <v>163</v>
      </c>
      <c r="C173" s="9"/>
      <c r="D173" s="13"/>
      <c r="E173" s="9"/>
      <c r="H173" s="1">
        <v>163</v>
      </c>
      <c r="I173" s="9"/>
      <c r="J173" s="13"/>
      <c r="K173" s="9"/>
    </row>
    <row r="174" spans="2:11" x14ac:dyDescent="0.55000000000000004">
      <c r="B174" s="1">
        <v>164</v>
      </c>
      <c r="C174" s="9"/>
      <c r="D174" s="13"/>
      <c r="E174" s="9"/>
      <c r="H174" s="1">
        <v>164</v>
      </c>
      <c r="I174" s="9"/>
      <c r="J174" s="13"/>
      <c r="K174" s="9"/>
    </row>
    <row r="175" spans="2:11" x14ac:dyDescent="0.55000000000000004">
      <c r="B175" s="1">
        <v>165</v>
      </c>
      <c r="C175" s="9"/>
      <c r="D175" s="13"/>
      <c r="E175" s="9"/>
      <c r="H175" s="1">
        <v>165</v>
      </c>
      <c r="I175" s="9"/>
      <c r="J175" s="13"/>
      <c r="K175" s="9"/>
    </row>
    <row r="176" spans="2:11" x14ac:dyDescent="0.55000000000000004">
      <c r="B176" s="1">
        <v>166</v>
      </c>
      <c r="C176" s="9"/>
      <c r="D176" s="13"/>
      <c r="E176" s="9"/>
      <c r="H176" s="1">
        <v>166</v>
      </c>
      <c r="I176" s="9"/>
      <c r="J176" s="13"/>
      <c r="K176" s="9"/>
    </row>
    <row r="177" spans="2:11" x14ac:dyDescent="0.55000000000000004">
      <c r="B177" s="1">
        <v>167</v>
      </c>
      <c r="C177" s="9"/>
      <c r="D177" s="13"/>
      <c r="E177" s="9"/>
      <c r="H177" s="1">
        <v>167</v>
      </c>
      <c r="I177" s="9"/>
      <c r="J177" s="13"/>
      <c r="K177" s="9"/>
    </row>
    <row r="178" spans="2:11" x14ac:dyDescent="0.55000000000000004">
      <c r="B178" s="1">
        <v>168</v>
      </c>
      <c r="C178" s="9"/>
      <c r="D178" s="13"/>
      <c r="E178" s="9"/>
      <c r="H178" s="1">
        <v>168</v>
      </c>
      <c r="I178" s="9"/>
      <c r="J178" s="13"/>
      <c r="K178" s="9"/>
    </row>
    <row r="179" spans="2:11" x14ac:dyDescent="0.55000000000000004">
      <c r="B179" s="1">
        <v>169</v>
      </c>
      <c r="C179" s="9"/>
      <c r="D179" s="13"/>
      <c r="E179" s="9"/>
      <c r="H179" s="1">
        <v>169</v>
      </c>
      <c r="I179" s="9"/>
      <c r="J179" s="13"/>
      <c r="K179" s="9"/>
    </row>
    <row r="180" spans="2:11" x14ac:dyDescent="0.55000000000000004">
      <c r="B180" s="1">
        <v>170</v>
      </c>
      <c r="C180" s="9"/>
      <c r="D180" s="13"/>
      <c r="E180" s="9"/>
      <c r="H180" s="1">
        <v>170</v>
      </c>
      <c r="I180" s="9"/>
      <c r="J180" s="13"/>
      <c r="K180" s="9"/>
    </row>
    <row r="181" spans="2:11" x14ac:dyDescent="0.55000000000000004">
      <c r="B181" s="1">
        <v>171</v>
      </c>
      <c r="C181" s="9"/>
      <c r="D181" s="13"/>
      <c r="E181" s="9"/>
      <c r="H181" s="1">
        <v>171</v>
      </c>
      <c r="I181" s="9"/>
      <c r="J181" s="13"/>
      <c r="K181" s="9"/>
    </row>
    <row r="182" spans="2:11" x14ac:dyDescent="0.55000000000000004">
      <c r="B182" s="1">
        <v>172</v>
      </c>
      <c r="C182" s="9"/>
      <c r="D182" s="13"/>
      <c r="E182" s="9"/>
      <c r="H182" s="1">
        <v>172</v>
      </c>
      <c r="I182" s="9"/>
      <c r="J182" s="13"/>
      <c r="K182" s="9"/>
    </row>
    <row r="183" spans="2:11" x14ac:dyDescent="0.55000000000000004">
      <c r="B183" s="1">
        <v>173</v>
      </c>
      <c r="C183" s="9"/>
      <c r="D183" s="13"/>
      <c r="E183" s="9"/>
      <c r="H183" s="1">
        <v>173</v>
      </c>
      <c r="I183" s="9"/>
      <c r="J183" s="13"/>
      <c r="K183" s="9"/>
    </row>
    <row r="184" spans="2:11" x14ac:dyDescent="0.55000000000000004">
      <c r="B184" s="1">
        <v>174</v>
      </c>
      <c r="C184" s="9"/>
      <c r="D184" s="13"/>
      <c r="E184" s="9"/>
      <c r="H184" s="1">
        <v>174</v>
      </c>
      <c r="I184" s="9"/>
      <c r="J184" s="13"/>
      <c r="K184" s="9"/>
    </row>
    <row r="185" spans="2:11" x14ac:dyDescent="0.55000000000000004">
      <c r="B185" s="1">
        <v>175</v>
      </c>
      <c r="C185" s="9"/>
      <c r="D185" s="13"/>
      <c r="E185" s="9"/>
      <c r="H185" s="1">
        <v>175</v>
      </c>
      <c r="I185" s="9"/>
      <c r="J185" s="13"/>
      <c r="K185" s="9"/>
    </row>
    <row r="186" spans="2:11" x14ac:dyDescent="0.55000000000000004">
      <c r="B186" s="1">
        <v>176</v>
      </c>
      <c r="C186" s="9"/>
      <c r="D186" s="13"/>
      <c r="E186" s="9"/>
      <c r="H186" s="1">
        <v>176</v>
      </c>
      <c r="I186" s="9"/>
      <c r="J186" s="13"/>
      <c r="K186" s="9"/>
    </row>
    <row r="187" spans="2:11" x14ac:dyDescent="0.55000000000000004">
      <c r="B187" s="1">
        <v>177</v>
      </c>
      <c r="C187" s="9"/>
      <c r="D187" s="13"/>
      <c r="E187" s="9"/>
      <c r="H187" s="1">
        <v>177</v>
      </c>
      <c r="I187" s="9"/>
      <c r="J187" s="13"/>
      <c r="K187" s="9"/>
    </row>
    <row r="188" spans="2:11" x14ac:dyDescent="0.55000000000000004">
      <c r="B188" s="1">
        <v>178</v>
      </c>
      <c r="C188" s="9"/>
      <c r="D188" s="13"/>
      <c r="E188" s="9"/>
      <c r="H188" s="1">
        <v>178</v>
      </c>
      <c r="I188" s="9"/>
      <c r="J188" s="13"/>
      <c r="K188" s="9"/>
    </row>
    <row r="189" spans="2:11" x14ac:dyDescent="0.55000000000000004">
      <c r="B189" s="1">
        <v>179</v>
      </c>
      <c r="C189" s="9"/>
      <c r="D189" s="13"/>
      <c r="E189" s="9"/>
      <c r="H189" s="1">
        <v>179</v>
      </c>
      <c r="I189" s="9"/>
      <c r="J189" s="13"/>
      <c r="K189" s="9"/>
    </row>
    <row r="190" spans="2:11" x14ac:dyDescent="0.55000000000000004">
      <c r="B190" s="1">
        <v>180</v>
      </c>
      <c r="C190" s="9"/>
      <c r="D190" s="13"/>
      <c r="E190" s="9"/>
      <c r="H190" s="1">
        <v>180</v>
      </c>
      <c r="I190" s="9"/>
      <c r="J190" s="13"/>
      <c r="K190" s="9"/>
    </row>
    <row r="191" spans="2:11" x14ac:dyDescent="0.55000000000000004">
      <c r="B191" s="1">
        <v>181</v>
      </c>
      <c r="C191" s="9"/>
      <c r="D191" s="13"/>
      <c r="E191" s="9"/>
      <c r="H191" s="1">
        <v>181</v>
      </c>
      <c r="I191" s="9"/>
      <c r="J191" s="13"/>
      <c r="K191" s="9"/>
    </row>
    <row r="192" spans="2:11" x14ac:dyDescent="0.55000000000000004">
      <c r="B192" s="1">
        <v>182</v>
      </c>
      <c r="C192" s="9"/>
      <c r="D192" s="13"/>
      <c r="E192" s="9"/>
      <c r="H192" s="1">
        <v>182</v>
      </c>
      <c r="I192" s="9"/>
      <c r="J192" s="13"/>
      <c r="K192" s="9"/>
    </row>
    <row r="193" spans="2:11" x14ac:dyDescent="0.55000000000000004">
      <c r="B193" s="1">
        <v>183</v>
      </c>
      <c r="C193" s="9"/>
      <c r="D193" s="13"/>
      <c r="E193" s="9"/>
      <c r="H193" s="1">
        <v>183</v>
      </c>
      <c r="I193" s="9"/>
      <c r="J193" s="13"/>
      <c r="K193" s="9"/>
    </row>
    <row r="194" spans="2:11" x14ac:dyDescent="0.55000000000000004">
      <c r="B194" s="1">
        <v>184</v>
      </c>
      <c r="C194" s="9"/>
      <c r="D194" s="13"/>
      <c r="E194" s="9"/>
      <c r="H194" s="1">
        <v>184</v>
      </c>
      <c r="I194" s="9"/>
      <c r="J194" s="13"/>
      <c r="K194" s="9"/>
    </row>
    <row r="195" spans="2:11" x14ac:dyDescent="0.55000000000000004">
      <c r="B195" s="1">
        <v>185</v>
      </c>
      <c r="C195" s="9"/>
      <c r="D195" s="13"/>
      <c r="E195" s="9"/>
      <c r="H195" s="1">
        <v>185</v>
      </c>
      <c r="I195" s="9"/>
      <c r="J195" s="13"/>
      <c r="K195" s="9"/>
    </row>
    <row r="196" spans="2:11" x14ac:dyDescent="0.55000000000000004">
      <c r="B196" s="1">
        <v>186</v>
      </c>
      <c r="C196" s="9"/>
      <c r="D196" s="13"/>
      <c r="E196" s="9"/>
      <c r="H196" s="1">
        <v>186</v>
      </c>
      <c r="I196" s="9"/>
      <c r="J196" s="13"/>
      <c r="K196" s="9"/>
    </row>
    <row r="197" spans="2:11" x14ac:dyDescent="0.55000000000000004">
      <c r="B197" s="1">
        <v>187</v>
      </c>
      <c r="C197" s="9"/>
      <c r="D197" s="13"/>
      <c r="E197" s="9"/>
      <c r="H197" s="1">
        <v>187</v>
      </c>
      <c r="I197" s="9"/>
      <c r="J197" s="13"/>
      <c r="K197" s="9"/>
    </row>
    <row r="198" spans="2:11" x14ac:dyDescent="0.55000000000000004">
      <c r="B198" s="1">
        <v>188</v>
      </c>
      <c r="C198" s="9"/>
      <c r="D198" s="13"/>
      <c r="E198" s="9"/>
      <c r="H198" s="1">
        <v>188</v>
      </c>
      <c r="I198" s="9"/>
      <c r="J198" s="13"/>
      <c r="K198" s="9"/>
    </row>
    <row r="199" spans="2:11" x14ac:dyDescent="0.55000000000000004">
      <c r="B199" s="1">
        <v>189</v>
      </c>
      <c r="C199" s="9"/>
      <c r="D199" s="13"/>
      <c r="E199" s="9"/>
      <c r="H199" s="1">
        <v>189</v>
      </c>
      <c r="I199" s="9"/>
      <c r="J199" s="13"/>
      <c r="K199" s="9"/>
    </row>
    <row r="200" spans="2:11" x14ac:dyDescent="0.55000000000000004">
      <c r="B200" s="1">
        <v>190</v>
      </c>
      <c r="C200" s="9"/>
      <c r="D200" s="13"/>
      <c r="E200" s="9"/>
      <c r="H200" s="1">
        <v>190</v>
      </c>
      <c r="I200" s="9"/>
      <c r="J200" s="13"/>
      <c r="K200" s="9"/>
    </row>
    <row r="201" spans="2:11" x14ac:dyDescent="0.55000000000000004">
      <c r="B201" s="1">
        <v>191</v>
      </c>
      <c r="C201" s="9"/>
      <c r="D201" s="13"/>
      <c r="E201" s="9"/>
      <c r="H201" s="1">
        <v>191</v>
      </c>
      <c r="I201" s="9"/>
      <c r="J201" s="13"/>
      <c r="K201" s="9"/>
    </row>
    <row r="202" spans="2:11" x14ac:dyDescent="0.55000000000000004">
      <c r="B202" s="1">
        <v>192</v>
      </c>
      <c r="C202" s="9"/>
      <c r="D202" s="13"/>
      <c r="E202" s="9"/>
      <c r="H202" s="1">
        <v>192</v>
      </c>
      <c r="I202" s="9"/>
      <c r="J202" s="13"/>
      <c r="K202" s="9"/>
    </row>
    <row r="203" spans="2:11" x14ac:dyDescent="0.55000000000000004">
      <c r="B203" s="1">
        <v>193</v>
      </c>
      <c r="C203" s="9"/>
      <c r="D203" s="13"/>
      <c r="E203" s="9"/>
      <c r="H203" s="1">
        <v>193</v>
      </c>
      <c r="I203" s="9"/>
      <c r="J203" s="13"/>
      <c r="K203" s="9"/>
    </row>
    <row r="204" spans="2:11" x14ac:dyDescent="0.55000000000000004">
      <c r="B204" s="1">
        <v>194</v>
      </c>
      <c r="C204" s="9"/>
      <c r="D204" s="13"/>
      <c r="E204" s="9"/>
      <c r="H204" s="1">
        <v>194</v>
      </c>
      <c r="I204" s="9"/>
      <c r="J204" s="13"/>
      <c r="K204" s="9"/>
    </row>
    <row r="205" spans="2:11" x14ac:dyDescent="0.55000000000000004">
      <c r="B205" s="1">
        <v>195</v>
      </c>
      <c r="C205" s="9"/>
      <c r="D205" s="13"/>
      <c r="E205" s="9"/>
      <c r="H205" s="1">
        <v>195</v>
      </c>
      <c r="I205" s="9"/>
      <c r="J205" s="13"/>
      <c r="K205" s="9"/>
    </row>
    <row r="206" spans="2:11" x14ac:dyDescent="0.55000000000000004">
      <c r="B206" s="1">
        <v>196</v>
      </c>
      <c r="C206" s="9"/>
      <c r="D206" s="13"/>
      <c r="E206" s="9"/>
      <c r="H206" s="1">
        <v>196</v>
      </c>
      <c r="I206" s="9"/>
      <c r="J206" s="13"/>
      <c r="K206" s="9"/>
    </row>
    <row r="207" spans="2:11" x14ac:dyDescent="0.55000000000000004">
      <c r="B207" s="1">
        <v>197</v>
      </c>
      <c r="C207" s="9"/>
      <c r="D207" s="13"/>
      <c r="E207" s="9"/>
      <c r="H207" s="1">
        <v>197</v>
      </c>
      <c r="I207" s="9"/>
      <c r="J207" s="13"/>
      <c r="K207" s="9"/>
    </row>
    <row r="208" spans="2:11" x14ac:dyDescent="0.55000000000000004">
      <c r="B208" s="1">
        <v>198</v>
      </c>
      <c r="C208" s="9"/>
      <c r="D208" s="13"/>
      <c r="E208" s="9"/>
      <c r="H208" s="1">
        <v>198</v>
      </c>
      <c r="I208" s="9"/>
      <c r="J208" s="13"/>
      <c r="K208" s="9"/>
    </row>
    <row r="209" spans="2:11" x14ac:dyDescent="0.55000000000000004">
      <c r="B209" s="1">
        <v>199</v>
      </c>
      <c r="C209" s="9"/>
      <c r="D209" s="13"/>
      <c r="E209" s="9"/>
      <c r="H209" s="1">
        <v>199</v>
      </c>
      <c r="I209" s="9"/>
      <c r="J209" s="13"/>
      <c r="K209" s="9"/>
    </row>
    <row r="210" spans="2:11" ht="18.5" thickBot="1" x14ac:dyDescent="0.6">
      <c r="B210" s="3">
        <v>200</v>
      </c>
      <c r="C210" s="10"/>
      <c r="D210" s="14"/>
      <c r="E210" s="10"/>
      <c r="H210" s="3">
        <v>200</v>
      </c>
      <c r="I210" s="10"/>
      <c r="J210" s="14"/>
      <c r="K210" s="10"/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F5206-10CB-460E-BC78-A8DDFB048384}">
  <sheetPr>
    <tabColor rgb="FFFF0000"/>
  </sheetPr>
  <dimension ref="B8:K210"/>
  <sheetViews>
    <sheetView workbookViewId="0">
      <selection activeCell="B9" sqref="B9"/>
    </sheetView>
  </sheetViews>
  <sheetFormatPr defaultRowHeight="18" x14ac:dyDescent="0.55000000000000004"/>
  <sheetData>
    <row r="8" spans="2:11" ht="18.5" thickBot="1" x14ac:dyDescent="0.6">
      <c r="B8" s="12" t="s">
        <v>8</v>
      </c>
      <c r="H8" s="12" t="s">
        <v>9</v>
      </c>
    </row>
    <row r="9" spans="2:11" ht="18.5" thickBot="1" x14ac:dyDescent="0.6">
      <c r="B9" s="6" t="s">
        <v>4</v>
      </c>
      <c r="C9" s="8" t="s">
        <v>5</v>
      </c>
      <c r="D9" s="15" t="s">
        <v>6</v>
      </c>
      <c r="E9" s="8" t="s">
        <v>7</v>
      </c>
      <c r="H9" s="6" t="s">
        <v>4</v>
      </c>
      <c r="I9" s="8" t="s">
        <v>5</v>
      </c>
      <c r="J9" s="8" t="s">
        <v>6</v>
      </c>
      <c r="K9" s="7" t="s">
        <v>7</v>
      </c>
    </row>
    <row r="10" spans="2:11" x14ac:dyDescent="0.55000000000000004">
      <c r="B10" s="1">
        <v>0</v>
      </c>
      <c r="C10" s="9">
        <f>0.05*B10</f>
        <v>0</v>
      </c>
      <c r="D10" s="13">
        <f>C10*COS(2*PI()*B10/50)</f>
        <v>0</v>
      </c>
      <c r="E10" s="9">
        <f>C10*SIN(2*PI()*B10/50)</f>
        <v>0</v>
      </c>
      <c r="H10" s="1">
        <v>0</v>
      </c>
      <c r="I10" s="9">
        <f>EXP(0.02*H10)</f>
        <v>1</v>
      </c>
      <c r="J10" s="13">
        <f>I10*COS(2*PI()*H10/50)</f>
        <v>1</v>
      </c>
      <c r="K10" s="9">
        <f>I10*SIN(2*PI()*H10/50)</f>
        <v>0</v>
      </c>
    </row>
    <row r="11" spans="2:11" x14ac:dyDescent="0.55000000000000004">
      <c r="B11" s="1">
        <v>1</v>
      </c>
      <c r="C11" s="9">
        <f t="shared" ref="C11:C74" si="0">0.05*B11</f>
        <v>0.05</v>
      </c>
      <c r="D11" s="13">
        <f t="shared" ref="D11:D74" si="1">C11*COS(2*PI()*B11/50)</f>
        <v>4.9605735065723897E-2</v>
      </c>
      <c r="E11" s="9">
        <f t="shared" ref="E11:E74" si="2">C11*SIN(2*PI()*B11/50)</f>
        <v>6.2666616782152129E-3</v>
      </c>
      <c r="H11" s="1">
        <v>1</v>
      </c>
      <c r="I11" s="9">
        <f t="shared" ref="I11:I74" si="3">EXP(0.02*H11)</f>
        <v>1.0202013400267558</v>
      </c>
      <c r="J11" s="13">
        <f t="shared" ref="J11:J74" si="4">I11*COS(2*PI()*H11/50)</f>
        <v>1.012156747741275</v>
      </c>
      <c r="K11" s="9">
        <f t="shared" ref="K11:K74" si="5">I11*SIN(2*PI()*H11/50)</f>
        <v>0.12786513283218956</v>
      </c>
    </row>
    <row r="12" spans="2:11" x14ac:dyDescent="0.55000000000000004">
      <c r="B12" s="1">
        <v>2</v>
      </c>
      <c r="C12" s="9">
        <f t="shared" si="0"/>
        <v>0.1</v>
      </c>
      <c r="D12" s="13">
        <f t="shared" si="1"/>
        <v>9.6858316112863108E-2</v>
      </c>
      <c r="E12" s="9">
        <f t="shared" si="2"/>
        <v>2.486898871648548E-2</v>
      </c>
      <c r="H12" s="1">
        <v>2</v>
      </c>
      <c r="I12" s="9">
        <f t="shared" si="3"/>
        <v>1.0408107741923882</v>
      </c>
      <c r="J12" s="13">
        <f t="shared" si="4"/>
        <v>1.0081117898040013</v>
      </c>
      <c r="K12" s="9">
        <f t="shared" si="5"/>
        <v>0.25883911399387016</v>
      </c>
    </row>
    <row r="13" spans="2:11" x14ac:dyDescent="0.55000000000000004">
      <c r="B13" s="1">
        <v>3</v>
      </c>
      <c r="C13" s="9">
        <f t="shared" si="0"/>
        <v>0.15000000000000002</v>
      </c>
      <c r="D13" s="13">
        <f t="shared" si="1"/>
        <v>0.13946647288323774</v>
      </c>
      <c r="E13" s="9">
        <f t="shared" si="2"/>
        <v>5.5218682902701696E-2</v>
      </c>
      <c r="H13" s="1">
        <v>3</v>
      </c>
      <c r="I13" s="9">
        <f t="shared" si="3"/>
        <v>1.0618365465453596</v>
      </c>
      <c r="J13" s="13">
        <f t="shared" si="4"/>
        <v>0.9872706528346612</v>
      </c>
      <c r="K13" s="9">
        <f t="shared" si="5"/>
        <v>0.39088810372125371</v>
      </c>
    </row>
    <row r="14" spans="2:11" x14ac:dyDescent="0.55000000000000004">
      <c r="B14" s="1">
        <v>4</v>
      </c>
      <c r="C14" s="9">
        <f t="shared" si="0"/>
        <v>0.2</v>
      </c>
      <c r="D14" s="13">
        <f t="shared" si="1"/>
        <v>0.17526133600877272</v>
      </c>
      <c r="E14" s="9">
        <f t="shared" si="2"/>
        <v>9.6350734820343065E-2</v>
      </c>
      <c r="H14" s="1">
        <v>4</v>
      </c>
      <c r="I14" s="9">
        <f t="shared" si="3"/>
        <v>1.0832870676749586</v>
      </c>
      <c r="J14" s="13">
        <f t="shared" si="4"/>
        <v>0.94929169380869516</v>
      </c>
      <c r="K14" s="9">
        <f t="shared" si="5"/>
        <v>0.52187752495928486</v>
      </c>
    </row>
    <row r="15" spans="2:11" x14ac:dyDescent="0.55000000000000004">
      <c r="B15" s="1">
        <v>5</v>
      </c>
      <c r="C15" s="9">
        <f t="shared" si="0"/>
        <v>0.25</v>
      </c>
      <c r="D15" s="13">
        <f t="shared" si="1"/>
        <v>0.20225424859373686</v>
      </c>
      <c r="E15" s="9">
        <f t="shared" si="2"/>
        <v>0.14694631307311828</v>
      </c>
      <c r="H15" s="1">
        <v>5</v>
      </c>
      <c r="I15" s="9">
        <f t="shared" si="3"/>
        <v>1.1051709180756477</v>
      </c>
      <c r="J15" s="13">
        <f t="shared" si="4"/>
        <v>0.89410205441216184</v>
      </c>
      <c r="K15" s="9">
        <f t="shared" si="5"/>
        <v>0.64960316690739872</v>
      </c>
    </row>
    <row r="16" spans="2:11" x14ac:dyDescent="0.55000000000000004">
      <c r="B16" s="1">
        <v>6</v>
      </c>
      <c r="C16" s="9">
        <f t="shared" si="0"/>
        <v>0.30000000000000004</v>
      </c>
      <c r="D16" s="13">
        <f t="shared" si="1"/>
        <v>0.21869058822642351</v>
      </c>
      <c r="E16" s="9">
        <f t="shared" si="2"/>
        <v>0.2053641317786066</v>
      </c>
      <c r="H16" s="1">
        <v>6</v>
      </c>
      <c r="I16" s="9">
        <f t="shared" si="3"/>
        <v>1.1274968515793757</v>
      </c>
      <c r="J16" s="13">
        <f t="shared" si="4"/>
        <v>0.82190983231778048</v>
      </c>
      <c r="K16" s="9">
        <f t="shared" si="5"/>
        <v>0.7718247066923698</v>
      </c>
    </row>
    <row r="17" spans="2:11" x14ac:dyDescent="0.55000000000000004">
      <c r="B17" s="1">
        <v>7</v>
      </c>
      <c r="C17" s="9">
        <f t="shared" si="0"/>
        <v>0.35000000000000003</v>
      </c>
      <c r="D17" s="13">
        <f t="shared" si="1"/>
        <v>0.22309839641204143</v>
      </c>
      <c r="E17" s="9">
        <f t="shared" si="2"/>
        <v>0.26967963497152625</v>
      </c>
      <c r="H17" s="1">
        <v>7</v>
      </c>
      <c r="I17" s="9">
        <f t="shared" si="3"/>
        <v>1.1502737988572274</v>
      </c>
      <c r="J17" s="13">
        <f t="shared" si="4"/>
        <v>0.73321211417095566</v>
      </c>
      <c r="K17" s="9">
        <f t="shared" si="5"/>
        <v>0.88630119483750824</v>
      </c>
    </row>
    <row r="18" spans="2:11" x14ac:dyDescent="0.55000000000000004">
      <c r="B18" s="1">
        <v>8</v>
      </c>
      <c r="C18" s="9">
        <f t="shared" si="0"/>
        <v>0.4</v>
      </c>
      <c r="D18" s="13">
        <f t="shared" si="1"/>
        <v>0.21433071799159864</v>
      </c>
      <c r="E18" s="9">
        <f t="shared" si="2"/>
        <v>0.33773117020080606</v>
      </c>
      <c r="H18" s="1">
        <v>8</v>
      </c>
      <c r="I18" s="9">
        <f t="shared" si="3"/>
        <v>1.1735108709918103</v>
      </c>
      <c r="J18" s="13">
        <f t="shared" si="4"/>
        <v>0.62879856887655239</v>
      </c>
      <c r="K18" s="9">
        <f t="shared" si="5"/>
        <v>0.99082799925857801</v>
      </c>
    </row>
    <row r="19" spans="2:11" x14ac:dyDescent="0.55000000000000004">
      <c r="B19" s="1">
        <v>9</v>
      </c>
      <c r="C19" s="9">
        <f t="shared" si="0"/>
        <v>0.45</v>
      </c>
      <c r="D19" s="13">
        <f t="shared" si="1"/>
        <v>0.1916006812042827</v>
      </c>
      <c r="E19" s="9">
        <f t="shared" si="2"/>
        <v>0.40717217360970881</v>
      </c>
      <c r="H19" s="1">
        <v>9</v>
      </c>
      <c r="I19" s="9">
        <f t="shared" si="3"/>
        <v>1.1972173631218102</v>
      </c>
      <c r="J19" s="13">
        <f t="shared" si="4"/>
        <v>0.50975036071940871</v>
      </c>
      <c r="K19" s="9">
        <f t="shared" si="5"/>
        <v>1.0832746578346477</v>
      </c>
    </row>
    <row r="20" spans="2:11" x14ac:dyDescent="0.55000000000000004">
      <c r="B20" s="1">
        <v>10</v>
      </c>
      <c r="C20" s="9">
        <f t="shared" si="0"/>
        <v>0.5</v>
      </c>
      <c r="D20" s="13">
        <f t="shared" si="1"/>
        <v>0.15450849718747373</v>
      </c>
      <c r="E20" s="9">
        <f t="shared" si="2"/>
        <v>0.47552825814757677</v>
      </c>
      <c r="H20" s="1">
        <v>10</v>
      </c>
      <c r="I20" s="9">
        <f t="shared" si="3"/>
        <v>1.2214027581601699</v>
      </c>
      <c r="J20" s="13">
        <f t="shared" si="4"/>
        <v>0.37743420924792653</v>
      </c>
      <c r="K20" s="9">
        <f t="shared" si="5"/>
        <v>1.1616230521691031</v>
      </c>
    </row>
    <row r="21" spans="2:11" x14ac:dyDescent="0.55000000000000004">
      <c r="B21" s="1">
        <v>11</v>
      </c>
      <c r="C21" s="9">
        <f t="shared" si="0"/>
        <v>0.55000000000000004</v>
      </c>
      <c r="D21" s="13">
        <f t="shared" si="1"/>
        <v>0.10305972302214861</v>
      </c>
      <c r="E21" s="9">
        <f t="shared" si="2"/>
        <v>0.54025798790077872</v>
      </c>
      <c r="H21" s="1">
        <v>11</v>
      </c>
      <c r="I21" s="9">
        <f t="shared" si="3"/>
        <v>1.2460767305873808</v>
      </c>
      <c r="J21" s="13">
        <f t="shared" si="4"/>
        <v>0.23349149585214538</v>
      </c>
      <c r="K21" s="9">
        <f t="shared" si="5"/>
        <v>1.2240052858856711</v>
      </c>
    </row>
    <row r="22" spans="2:11" x14ac:dyDescent="0.55000000000000004">
      <c r="B22" s="1">
        <v>12</v>
      </c>
      <c r="C22" s="9">
        <f t="shared" si="0"/>
        <v>0.60000000000000009</v>
      </c>
      <c r="D22" s="13">
        <f t="shared" si="1"/>
        <v>3.7674311717588123E-2</v>
      </c>
      <c r="E22" s="9">
        <f t="shared" si="2"/>
        <v>0.59881603705696307</v>
      </c>
      <c r="H22" s="1">
        <v>12</v>
      </c>
      <c r="I22" s="9">
        <f t="shared" si="3"/>
        <v>1.2712491503214047</v>
      </c>
      <c r="J22" s="13">
        <f t="shared" si="4"/>
        <v>7.9822394599879387E-2</v>
      </c>
      <c r="K22" s="9">
        <f t="shared" si="5"/>
        <v>1.2687406305124915</v>
      </c>
    </row>
    <row r="23" spans="2:11" x14ac:dyDescent="0.55000000000000004">
      <c r="B23" s="1">
        <v>13</v>
      </c>
      <c r="C23" s="9">
        <f t="shared" si="0"/>
        <v>0.65</v>
      </c>
      <c r="D23" s="13">
        <f t="shared" si="1"/>
        <v>-4.0813837694053716E-2</v>
      </c>
      <c r="E23" s="9">
        <f t="shared" si="2"/>
        <v>0.64871737347837655</v>
      </c>
      <c r="H23" s="1">
        <v>13</v>
      </c>
      <c r="I23" s="9">
        <f t="shared" si="3"/>
        <v>1.2969300866657718</v>
      </c>
      <c r="J23" s="13">
        <f t="shared" si="4"/>
        <v>-8.1434913934941261E-2</v>
      </c>
      <c r="K23" s="9">
        <f t="shared" si="5"/>
        <v>1.294370891395235</v>
      </c>
    </row>
    <row r="24" spans="2:11" x14ac:dyDescent="0.55000000000000004">
      <c r="B24" s="1">
        <v>14</v>
      </c>
      <c r="C24" s="9">
        <f t="shared" si="0"/>
        <v>0.70000000000000007</v>
      </c>
      <c r="D24" s="13">
        <f t="shared" si="1"/>
        <v>-0.13116692021000723</v>
      </c>
      <c r="E24" s="9">
        <f t="shared" si="2"/>
        <v>0.6876010755100822</v>
      </c>
      <c r="H24" s="1">
        <v>14</v>
      </c>
      <c r="I24" s="9">
        <f t="shared" si="3"/>
        <v>1.3231298123374369</v>
      </c>
      <c r="J24" s="13">
        <f t="shared" si="4"/>
        <v>-0.24792980360335201</v>
      </c>
      <c r="K24" s="9">
        <f t="shared" si="5"/>
        <v>1.2996935457181067</v>
      </c>
    </row>
    <row r="25" spans="2:11" x14ac:dyDescent="0.55000000000000004">
      <c r="B25" s="1">
        <v>15</v>
      </c>
      <c r="C25" s="9">
        <f t="shared" si="0"/>
        <v>0.75</v>
      </c>
      <c r="D25" s="13">
        <f t="shared" si="1"/>
        <v>-0.23176274578121034</v>
      </c>
      <c r="E25" s="9">
        <f t="shared" si="2"/>
        <v>0.71329238722136523</v>
      </c>
      <c r="H25" s="1">
        <v>15</v>
      </c>
      <c r="I25" s="9">
        <f t="shared" si="3"/>
        <v>1.3498588075760032</v>
      </c>
      <c r="J25" s="13">
        <f t="shared" si="4"/>
        <v>-0.41712931154768662</v>
      </c>
      <c r="K25" s="9">
        <f t="shared" si="5"/>
        <v>1.2837920150235638</v>
      </c>
    </row>
    <row r="26" spans="2:11" x14ac:dyDescent="0.55000000000000004">
      <c r="B26" s="1">
        <v>16</v>
      </c>
      <c r="C26" s="9">
        <f t="shared" si="0"/>
        <v>0.8</v>
      </c>
      <c r="D26" s="13">
        <f t="shared" si="1"/>
        <v>-0.34062343325205818</v>
      </c>
      <c r="E26" s="9">
        <f t="shared" si="2"/>
        <v>0.72386164197281566</v>
      </c>
      <c r="H26" s="1">
        <v>16</v>
      </c>
      <c r="I26" s="9">
        <f t="shared" si="3"/>
        <v>1.3771277643359572</v>
      </c>
      <c r="J26" s="13">
        <f t="shared" si="4"/>
        <v>-0.58635248389355621</v>
      </c>
      <c r="K26" s="9">
        <f t="shared" si="5"/>
        <v>1.2460624558732232</v>
      </c>
    </row>
    <row r="27" spans="2:11" x14ac:dyDescent="0.55000000000000004">
      <c r="B27" s="1">
        <v>17</v>
      </c>
      <c r="C27" s="9">
        <f t="shared" si="0"/>
        <v>0.85000000000000009</v>
      </c>
      <c r="D27" s="13">
        <f t="shared" si="1"/>
        <v>-0.45545277573214737</v>
      </c>
      <c r="E27" s="9">
        <f t="shared" si="2"/>
        <v>0.71767873667671278</v>
      </c>
      <c r="H27" s="1">
        <v>17</v>
      </c>
      <c r="I27" s="9">
        <f t="shared" si="3"/>
        <v>1.4049475905635938</v>
      </c>
      <c r="J27" s="13">
        <f t="shared" si="4"/>
        <v>-0.75280856456515444</v>
      </c>
      <c r="K27" s="9">
        <f t="shared" si="5"/>
        <v>1.1862364845796134</v>
      </c>
    </row>
    <row r="28" spans="2:11" x14ac:dyDescent="0.55000000000000004">
      <c r="B28" s="1">
        <v>18</v>
      </c>
      <c r="C28" s="9">
        <f t="shared" si="0"/>
        <v>0.9</v>
      </c>
      <c r="D28" s="13">
        <f t="shared" si="1"/>
        <v>-0.57368159077382075</v>
      </c>
      <c r="E28" s="9">
        <f t="shared" si="2"/>
        <v>0.69346191849821037</v>
      </c>
      <c r="H28" s="1">
        <v>18</v>
      </c>
      <c r="I28" s="9">
        <f t="shared" si="3"/>
        <v>1.4333294145603401</v>
      </c>
      <c r="J28" s="13">
        <f t="shared" si="4"/>
        <v>-0.91363855405320571</v>
      </c>
      <c r="K28" s="9">
        <f t="shared" si="5"/>
        <v>1.1043992951788113</v>
      </c>
    </row>
    <row r="29" spans="2:11" x14ac:dyDescent="0.55000000000000004">
      <c r="B29" s="1">
        <v>19</v>
      </c>
      <c r="C29" s="9">
        <f t="shared" si="0"/>
        <v>0.95000000000000007</v>
      </c>
      <c r="D29" s="13">
        <f t="shared" si="1"/>
        <v>-0.69252019605034076</v>
      </c>
      <c r="E29" s="9">
        <f t="shared" si="2"/>
        <v>0.65031975063225445</v>
      </c>
      <c r="H29" s="1">
        <v>19</v>
      </c>
      <c r="I29" s="9">
        <f t="shared" si="3"/>
        <v>1.4622845894342245</v>
      </c>
      <c r="J29" s="13">
        <f t="shared" si="4"/>
        <v>-1.0659595900593486</v>
      </c>
      <c r="K29" s="9">
        <f t="shared" si="5"/>
        <v>1.0010026837413193</v>
      </c>
    </row>
    <row r="30" spans="2:11" x14ac:dyDescent="0.55000000000000004">
      <c r="B30" s="1">
        <v>20</v>
      </c>
      <c r="C30" s="9">
        <f t="shared" si="0"/>
        <v>1</v>
      </c>
      <c r="D30" s="13">
        <f t="shared" si="1"/>
        <v>-0.80901699437494734</v>
      </c>
      <c r="E30" s="9">
        <f t="shared" si="2"/>
        <v>0.58778525229247325</v>
      </c>
      <c r="H30" s="1">
        <v>20</v>
      </c>
      <c r="I30" s="9">
        <f t="shared" si="3"/>
        <v>1.4918246976412703</v>
      </c>
      <c r="J30" s="13">
        <f t="shared" si="4"/>
        <v>-1.206911533020055</v>
      </c>
      <c r="K30" s="9">
        <f t="shared" si="5"/>
        <v>0.87687255627921668</v>
      </c>
    </row>
    <row r="31" spans="2:11" x14ac:dyDescent="0.55000000000000004">
      <c r="B31" s="1">
        <v>21</v>
      </c>
      <c r="C31" s="9">
        <f t="shared" si="0"/>
        <v>1.05</v>
      </c>
      <c r="D31" s="13">
        <f t="shared" si="1"/>
        <v>-0.92012201404605676</v>
      </c>
      <c r="E31" s="9">
        <f t="shared" si="2"/>
        <v>0.50584135780680095</v>
      </c>
      <c r="H31" s="1">
        <v>21</v>
      </c>
      <c r="I31" s="9">
        <f t="shared" si="3"/>
        <v>1.5219615556186337</v>
      </c>
      <c r="J31" s="13">
        <f t="shared" si="4"/>
        <v>-1.3337050779585589</v>
      </c>
      <c r="K31" s="9">
        <f t="shared" si="5"/>
        <v>0.73321057126083877</v>
      </c>
    </row>
    <row r="32" spans="2:11" x14ac:dyDescent="0.55000000000000004">
      <c r="B32" s="1">
        <v>22</v>
      </c>
      <c r="C32" s="9">
        <f t="shared" si="0"/>
        <v>1.1000000000000001</v>
      </c>
      <c r="D32" s="13">
        <f t="shared" si="1"/>
        <v>-1.0227541344770765</v>
      </c>
      <c r="E32" s="9">
        <f t="shared" si="2"/>
        <v>0.40493700795314597</v>
      </c>
      <c r="H32" s="1">
        <v>22</v>
      </c>
      <c r="I32" s="9">
        <f t="shared" si="3"/>
        <v>1.552707218511336</v>
      </c>
      <c r="J32" s="13">
        <f t="shared" si="4"/>
        <v>-1.4436706612407912</v>
      </c>
      <c r="K32" s="9">
        <f t="shared" si="5"/>
        <v>0.57158965026475639</v>
      </c>
    </row>
    <row r="33" spans="2:11" x14ac:dyDescent="0.55000000000000004">
      <c r="B33" s="1">
        <v>23</v>
      </c>
      <c r="C33" s="9">
        <f t="shared" si="0"/>
        <v>1.1500000000000001</v>
      </c>
      <c r="D33" s="13">
        <f t="shared" si="1"/>
        <v>-1.1138706352979257</v>
      </c>
      <c r="E33" s="9">
        <f t="shared" si="2"/>
        <v>0.28599337023958354</v>
      </c>
      <c r="H33" s="1">
        <v>23</v>
      </c>
      <c r="I33" s="9">
        <f t="shared" si="3"/>
        <v>1.5840739849944818</v>
      </c>
      <c r="J33" s="13">
        <f t="shared" si="4"/>
        <v>-1.5343073878475828</v>
      </c>
      <c r="K33" s="9">
        <f t="shared" si="5"/>
        <v>0.39394318058906025</v>
      </c>
    </row>
    <row r="34" spans="2:11" x14ac:dyDescent="0.55000000000000004">
      <c r="B34" s="1">
        <v>24</v>
      </c>
      <c r="C34" s="9">
        <f t="shared" si="0"/>
        <v>1.2000000000000002</v>
      </c>
      <c r="D34" s="13">
        <f t="shared" si="1"/>
        <v>-1.1905376415773734</v>
      </c>
      <c r="E34" s="9">
        <f t="shared" si="2"/>
        <v>0.15039988027716547</v>
      </c>
      <c r="H34" s="1">
        <v>24</v>
      </c>
      <c r="I34" s="9">
        <f t="shared" si="3"/>
        <v>1.6160744021928934</v>
      </c>
      <c r="J34" s="13">
        <f t="shared" si="4"/>
        <v>-1.6033311728335757</v>
      </c>
      <c r="K34" s="9">
        <f t="shared" si="5"/>
        <v>0.20254783050733574</v>
      </c>
    </row>
    <row r="35" spans="2:11" x14ac:dyDescent="0.55000000000000004">
      <c r="B35" s="1">
        <v>25</v>
      </c>
      <c r="C35" s="9">
        <f t="shared" si="0"/>
        <v>1.25</v>
      </c>
      <c r="D35" s="13">
        <f t="shared" si="1"/>
        <v>-1.25</v>
      </c>
      <c r="E35" s="9">
        <f t="shared" si="2"/>
        <v>1.531435568635775E-16</v>
      </c>
      <c r="H35" s="1">
        <v>25</v>
      </c>
      <c r="I35" s="9">
        <f t="shared" si="3"/>
        <v>1.6487212707001282</v>
      </c>
      <c r="J35" s="13">
        <f t="shared" si="4"/>
        <v>-1.6487212707001282</v>
      </c>
      <c r="K35" s="9">
        <f t="shared" si="5"/>
        <v>2.0199283173732387E-16</v>
      </c>
    </row>
    <row r="36" spans="2:11" x14ac:dyDescent="0.55000000000000004">
      <c r="B36" s="1">
        <v>26</v>
      </c>
      <c r="C36" s="9">
        <f t="shared" si="0"/>
        <v>1.3</v>
      </c>
      <c r="D36" s="13">
        <f t="shared" si="1"/>
        <v>-1.2897491117088213</v>
      </c>
      <c r="E36" s="9">
        <f t="shared" si="2"/>
        <v>-0.16293320363359559</v>
      </c>
      <c r="H36" s="1">
        <v>26</v>
      </c>
      <c r="I36" s="9">
        <f t="shared" si="3"/>
        <v>1.6820276496988864</v>
      </c>
      <c r="J36" s="13">
        <f t="shared" si="4"/>
        <v>-1.6687643592837038</v>
      </c>
      <c r="K36" s="9">
        <f t="shared" si="5"/>
        <v>-0.21081396428132831</v>
      </c>
    </row>
    <row r="37" spans="2:11" x14ac:dyDescent="0.55000000000000004">
      <c r="B37" s="1">
        <v>27</v>
      </c>
      <c r="C37" s="9">
        <f t="shared" si="0"/>
        <v>1.35</v>
      </c>
      <c r="D37" s="13">
        <f t="shared" si="1"/>
        <v>-1.3075872675236522</v>
      </c>
      <c r="E37" s="9">
        <f t="shared" si="2"/>
        <v>-0.33573134767255369</v>
      </c>
      <c r="H37" s="1">
        <v>27</v>
      </c>
      <c r="I37" s="9">
        <f t="shared" si="3"/>
        <v>1.7160068621848585</v>
      </c>
      <c r="J37" s="13">
        <f t="shared" si="4"/>
        <v>-1.6620953510934338</v>
      </c>
      <c r="K37" s="9">
        <f t="shared" si="5"/>
        <v>-0.42675355293086864</v>
      </c>
    </row>
    <row r="38" spans="2:11" x14ac:dyDescent="0.55000000000000004">
      <c r="B38" s="1">
        <v>28</v>
      </c>
      <c r="C38" s="9">
        <f t="shared" si="0"/>
        <v>1.4000000000000001</v>
      </c>
      <c r="D38" s="13">
        <f t="shared" si="1"/>
        <v>-1.3016870802435521</v>
      </c>
      <c r="E38" s="9">
        <f t="shared" si="2"/>
        <v>-0.51537437375854911</v>
      </c>
      <c r="H38" s="1">
        <v>28</v>
      </c>
      <c r="I38" s="9">
        <f t="shared" si="3"/>
        <v>1.7506725002961012</v>
      </c>
      <c r="J38" s="13">
        <f t="shared" si="4"/>
        <v>-1.6277341252665078</v>
      </c>
      <c r="K38" s="9">
        <f t="shared" si="5"/>
        <v>-0.64446553106886895</v>
      </c>
    </row>
    <row r="39" spans="2:11" x14ac:dyDescent="0.55000000000000004">
      <c r="B39" s="1">
        <v>29</v>
      </c>
      <c r="C39" s="9">
        <f t="shared" si="0"/>
        <v>1.4500000000000002</v>
      </c>
      <c r="D39" s="13">
        <f t="shared" si="1"/>
        <v>-1.2706446860636023</v>
      </c>
      <c r="E39" s="9">
        <f t="shared" si="2"/>
        <v>-0.69854282744748741</v>
      </c>
      <c r="H39" s="1">
        <v>29</v>
      </c>
      <c r="I39" s="9">
        <f t="shared" si="3"/>
        <v>1.7860384307500734</v>
      </c>
      <c r="J39" s="13">
        <f t="shared" si="4"/>
        <v>-1.5651174076813485</v>
      </c>
      <c r="K39" s="9">
        <f t="shared" si="5"/>
        <v>-0.86043057610071005</v>
      </c>
    </row>
    <row r="40" spans="2:11" x14ac:dyDescent="0.55000000000000004">
      <c r="B40" s="1">
        <v>30</v>
      </c>
      <c r="C40" s="9">
        <f t="shared" si="0"/>
        <v>1.5</v>
      </c>
      <c r="D40" s="13">
        <f t="shared" si="1"/>
        <v>-1.2135254915624216</v>
      </c>
      <c r="E40" s="9">
        <f t="shared" si="2"/>
        <v>-0.88167787843870904</v>
      </c>
      <c r="H40" s="1">
        <v>30</v>
      </c>
      <c r="I40" s="9">
        <f t="shared" si="3"/>
        <v>1.8221188003905089</v>
      </c>
      <c r="J40" s="13">
        <f t="shared" si="4"/>
        <v>-1.4741250752860149</v>
      </c>
      <c r="K40" s="9">
        <f t="shared" si="5"/>
        <v>-1.0710145587943929</v>
      </c>
    </row>
    <row r="41" spans="2:11" x14ac:dyDescent="0.55000000000000004">
      <c r="B41" s="1">
        <v>31</v>
      </c>
      <c r="C41" s="9">
        <f t="shared" si="0"/>
        <v>1.55</v>
      </c>
      <c r="D41" s="13">
        <f t="shared" si="1"/>
        <v>-1.1299013725031883</v>
      </c>
      <c r="E41" s="9">
        <f t="shared" si="2"/>
        <v>-1.0610480141894671</v>
      </c>
      <c r="H41" s="1">
        <v>31</v>
      </c>
      <c r="I41" s="9">
        <f t="shared" si="3"/>
        <v>1.8589280418463421</v>
      </c>
      <c r="J41" s="13">
        <f t="shared" si="4"/>
        <v>-1.3551002231399008</v>
      </c>
      <c r="K41" s="9">
        <f t="shared" si="5"/>
        <v>-1.2725238111755972</v>
      </c>
    </row>
    <row r="42" spans="2:11" x14ac:dyDescent="0.55000000000000004">
      <c r="B42" s="1">
        <v>32</v>
      </c>
      <c r="C42" s="9">
        <f t="shared" si="0"/>
        <v>1.6</v>
      </c>
      <c r="D42" s="13">
        <f t="shared" si="1"/>
        <v>-1.0198783835979033</v>
      </c>
      <c r="E42" s="9">
        <f t="shared" si="2"/>
        <v>-1.232821188441263</v>
      </c>
      <c r="H42" s="1">
        <v>32</v>
      </c>
      <c r="I42" s="9">
        <f t="shared" si="3"/>
        <v>1.8964808793049515</v>
      </c>
      <c r="J42" s="13">
        <f t="shared" si="4"/>
        <v>-1.208862408568665</v>
      </c>
      <c r="K42" s="9">
        <f t="shared" si="5"/>
        <v>-1.4612636321755386</v>
      </c>
    </row>
    <row r="43" spans="2:11" x14ac:dyDescent="0.55000000000000004">
      <c r="B43" s="1">
        <v>33</v>
      </c>
      <c r="C43" s="9">
        <f t="shared" si="0"/>
        <v>1.6500000000000001</v>
      </c>
      <c r="D43" s="13">
        <f t="shared" si="1"/>
        <v>-0.88411421171534399</v>
      </c>
      <c r="E43" s="9">
        <f t="shared" si="2"/>
        <v>-1.3931410770783255</v>
      </c>
      <c r="H43" s="1">
        <v>33</v>
      </c>
      <c r="I43" s="9">
        <f t="shared" si="3"/>
        <v>1.9347923344020317</v>
      </c>
      <c r="J43" s="13">
        <f t="shared" si="4"/>
        <v>-1.0367135754925711</v>
      </c>
      <c r="K43" s="9">
        <f t="shared" si="5"/>
        <v>-1.6335991979828688</v>
      </c>
    </row>
    <row r="44" spans="2:11" x14ac:dyDescent="0.55000000000000004">
      <c r="B44" s="1">
        <v>34</v>
      </c>
      <c r="C44" s="9">
        <f t="shared" si="0"/>
        <v>1.7000000000000002</v>
      </c>
      <c r="D44" s="13">
        <f t="shared" si="1"/>
        <v>-0.72382479566062274</v>
      </c>
      <c r="E44" s="9">
        <f t="shared" si="2"/>
        <v>-1.5382059891922337</v>
      </c>
      <c r="H44" s="1">
        <v>34</v>
      </c>
      <c r="I44" s="9">
        <f t="shared" si="3"/>
        <v>1.9738777322304477</v>
      </c>
      <c r="J44" s="13">
        <f t="shared" si="4"/>
        <v>-0.84043626246515124</v>
      </c>
      <c r="K44" s="9">
        <f t="shared" si="5"/>
        <v>-1.7860179703823875</v>
      </c>
    </row>
    <row r="45" spans="2:11" x14ac:dyDescent="0.55000000000000004">
      <c r="B45" s="1">
        <v>35</v>
      </c>
      <c r="C45" s="9">
        <f t="shared" si="0"/>
        <v>1.75</v>
      </c>
      <c r="D45" s="13">
        <f t="shared" si="1"/>
        <v>-0.54077974015615826</v>
      </c>
      <c r="E45" s="9">
        <f t="shared" si="2"/>
        <v>-1.6643489035165187</v>
      </c>
      <c r="H45" s="1">
        <v>35</v>
      </c>
      <c r="I45" s="9">
        <f t="shared" si="3"/>
        <v>2.0137527074704766</v>
      </c>
      <c r="J45" s="13">
        <f t="shared" si="4"/>
        <v>-0.6222838090769397</v>
      </c>
      <c r="K45" s="9">
        <f t="shared" si="5"/>
        <v>-1.9151926346468049</v>
      </c>
    </row>
    <row r="46" spans="2:11" x14ac:dyDescent="0.55000000000000004">
      <c r="B46" s="1">
        <v>36</v>
      </c>
      <c r="C46" s="9">
        <f t="shared" si="0"/>
        <v>1.8</v>
      </c>
      <c r="D46" s="13">
        <f t="shared" si="1"/>
        <v>-0.33728636625430436</v>
      </c>
      <c r="E46" s="9">
        <f t="shared" si="2"/>
        <v>-1.7681170513116398</v>
      </c>
      <c r="H46" s="1">
        <v>36</v>
      </c>
      <c r="I46" s="9">
        <f t="shared" si="3"/>
        <v>2.0544332106438876</v>
      </c>
      <c r="J46" s="13">
        <f t="shared" si="4"/>
        <v>-0.38496239573902258</v>
      </c>
      <c r="K46" s="9">
        <f t="shared" si="5"/>
        <v>-2.0180435502890974</v>
      </c>
    </row>
    <row r="47" spans="2:11" x14ac:dyDescent="0.55000000000000004">
      <c r="B47" s="1">
        <v>37</v>
      </c>
      <c r="C47" s="9">
        <f t="shared" si="0"/>
        <v>1.85</v>
      </c>
      <c r="D47" s="13">
        <f t="shared" si="1"/>
        <v>-0.11616246112922944</v>
      </c>
      <c r="E47" s="9">
        <f t="shared" si="2"/>
        <v>-1.8463494475923026</v>
      </c>
      <c r="H47" s="1">
        <v>37</v>
      </c>
      <c r="I47" s="9">
        <f t="shared" si="3"/>
        <v>2.0959355144943643</v>
      </c>
      <c r="J47" s="13">
        <f t="shared" si="4"/>
        <v>-0.13160487985503952</v>
      </c>
      <c r="K47" s="9">
        <f t="shared" si="5"/>
        <v>-2.0917996645274366</v>
      </c>
    </row>
    <row r="48" spans="2:11" x14ac:dyDescent="0.55000000000000004">
      <c r="B48" s="1">
        <v>38</v>
      </c>
      <c r="C48" s="9">
        <f t="shared" si="0"/>
        <v>1.9000000000000001</v>
      </c>
      <c r="D48" s="13">
        <f t="shared" si="1"/>
        <v>0.1193019871056944</v>
      </c>
      <c r="E48" s="9">
        <f t="shared" si="2"/>
        <v>-1.8962507840137162</v>
      </c>
      <c r="H48" s="1">
        <v>38</v>
      </c>
      <c r="I48" s="9">
        <f t="shared" si="3"/>
        <v>2.1382762204968184</v>
      </c>
      <c r="J48" s="13">
        <f t="shared" si="4"/>
        <v>0.13426347478217071</v>
      </c>
      <c r="K48" s="9">
        <f t="shared" si="5"/>
        <v>-2.134056820818409</v>
      </c>
    </row>
    <row r="49" spans="2:11" x14ac:dyDescent="0.55000000000000004">
      <c r="B49" s="1">
        <v>39</v>
      </c>
      <c r="C49" s="9">
        <f t="shared" si="0"/>
        <v>1.9500000000000002</v>
      </c>
      <c r="D49" s="13">
        <f t="shared" si="1"/>
        <v>0.36539356344216234</v>
      </c>
      <c r="E49" s="9">
        <f t="shared" si="2"/>
        <v>-1.9154601389209431</v>
      </c>
      <c r="H49" s="1">
        <v>39</v>
      </c>
      <c r="I49" s="9">
        <f t="shared" si="3"/>
        <v>2.1814722654982011</v>
      </c>
      <c r="J49" s="13">
        <f t="shared" si="4"/>
        <v>0.40876714084135102</v>
      </c>
      <c r="K49" s="9">
        <f t="shared" si="5"/>
        <v>-2.1428323942171121</v>
      </c>
    </row>
    <row r="50" spans="2:11" x14ac:dyDescent="0.55000000000000004">
      <c r="B50" s="1">
        <v>40</v>
      </c>
      <c r="C50" s="9">
        <f t="shared" si="0"/>
        <v>2</v>
      </c>
      <c r="D50" s="13">
        <f t="shared" si="1"/>
        <v>0.61803398874989446</v>
      </c>
      <c r="E50" s="9">
        <f t="shared" si="2"/>
        <v>-1.9021130325903073</v>
      </c>
      <c r="H50" s="1">
        <v>40</v>
      </c>
      <c r="I50" s="9">
        <f t="shared" si="3"/>
        <v>2.2255409284924679</v>
      </c>
      <c r="J50" s="13">
        <f t="shared" si="4"/>
        <v>0.68772996858117175</v>
      </c>
      <c r="K50" s="9">
        <f t="shared" si="5"/>
        <v>-2.1166152023243283</v>
      </c>
    </row>
    <row r="51" spans="2:11" x14ac:dyDescent="0.55000000000000004">
      <c r="B51" s="1">
        <v>41</v>
      </c>
      <c r="C51" s="9">
        <f t="shared" si="0"/>
        <v>2.0500000000000003</v>
      </c>
      <c r="D51" s="13">
        <f t="shared" si="1"/>
        <v>0.87284754770839734</v>
      </c>
      <c r="E51" s="9">
        <f t="shared" si="2"/>
        <v>-1.8548954575553411</v>
      </c>
      <c r="H51" s="1">
        <v>41</v>
      </c>
      <c r="I51" s="9">
        <f t="shared" si="3"/>
        <v>2.2704998375324061</v>
      </c>
      <c r="J51" s="13">
        <f t="shared" si="4"/>
        <v>0.96673181232315852</v>
      </c>
      <c r="K51" s="9">
        <f t="shared" si="5"/>
        <v>-2.054409675619024</v>
      </c>
    </row>
    <row r="52" spans="2:11" x14ac:dyDescent="0.55000000000000004">
      <c r="B52" s="1">
        <v>42</v>
      </c>
      <c r="C52" s="9">
        <f t="shared" si="0"/>
        <v>2.1</v>
      </c>
      <c r="D52" s="13">
        <f t="shared" si="1"/>
        <v>1.1252362694558933</v>
      </c>
      <c r="E52" s="9">
        <f t="shared" si="2"/>
        <v>-1.7730886435542315</v>
      </c>
      <c r="H52" s="1">
        <v>42</v>
      </c>
      <c r="I52" s="9">
        <f t="shared" si="3"/>
        <v>2.3163669767810915</v>
      </c>
      <c r="J52" s="13">
        <f t="shared" si="4"/>
        <v>1.2411714931638005</v>
      </c>
      <c r="K52" s="9">
        <f t="shared" si="5"/>
        <v>-1.955773324206953</v>
      </c>
    </row>
    <row r="53" spans="2:11" x14ac:dyDescent="0.55000000000000004">
      <c r="B53" s="1">
        <v>43</v>
      </c>
      <c r="C53" s="9">
        <f t="shared" si="0"/>
        <v>2.15</v>
      </c>
      <c r="D53" s="13">
        <f t="shared" si="1"/>
        <v>1.370461577959682</v>
      </c>
      <c r="E53" s="9">
        <f t="shared" si="2"/>
        <v>-1.6566034719679474</v>
      </c>
      <c r="H53" s="1">
        <v>43</v>
      </c>
      <c r="I53" s="9">
        <f t="shared" si="3"/>
        <v>2.3631606937057947</v>
      </c>
      <c r="J53" s="13">
        <f t="shared" si="4"/>
        <v>1.506335317799228</v>
      </c>
      <c r="K53" s="9">
        <f t="shared" si="5"/>
        <v>-1.8208466093075364</v>
      </c>
    </row>
    <row r="54" spans="2:11" x14ac:dyDescent="0.55000000000000004">
      <c r="B54" s="1">
        <v>44</v>
      </c>
      <c r="C54" s="9">
        <f t="shared" si="0"/>
        <v>2.2000000000000002</v>
      </c>
      <c r="D54" s="13">
        <f t="shared" si="1"/>
        <v>1.6037309803271047</v>
      </c>
      <c r="E54" s="9">
        <f t="shared" si="2"/>
        <v>-1.5060036330431159</v>
      </c>
      <c r="H54" s="1">
        <v>44</v>
      </c>
      <c r="I54" s="9">
        <f t="shared" si="3"/>
        <v>2.4108997064172097</v>
      </c>
      <c r="J54" s="13">
        <f t="shared" si="4"/>
        <v>1.7574702498376367</v>
      </c>
      <c r="K54" s="9">
        <f t="shared" si="5"/>
        <v>-1.6503744167122267</v>
      </c>
    </row>
    <row r="55" spans="2:11" x14ac:dyDescent="0.55000000000000004">
      <c r="B55" s="1">
        <v>45</v>
      </c>
      <c r="C55" s="9">
        <f t="shared" si="0"/>
        <v>2.25</v>
      </c>
      <c r="D55" s="13">
        <f t="shared" si="1"/>
        <v>1.8202882373436315</v>
      </c>
      <c r="E55" s="9">
        <f t="shared" si="2"/>
        <v>-1.3225168176580651</v>
      </c>
      <c r="H55" s="1">
        <v>45</v>
      </c>
      <c r="I55" s="9">
        <f t="shared" si="3"/>
        <v>2.4596031111569499</v>
      </c>
      <c r="J55" s="13">
        <f t="shared" si="4"/>
        <v>1.9898607163434652</v>
      </c>
      <c r="K55" s="9">
        <f t="shared" si="5"/>
        <v>-1.4457184352307402</v>
      </c>
    </row>
    <row r="56" spans="2:11" x14ac:dyDescent="0.55000000000000004">
      <c r="B56" s="1">
        <v>46</v>
      </c>
      <c r="C56" s="9">
        <f t="shared" si="0"/>
        <v>2.3000000000000003</v>
      </c>
      <c r="D56" s="13">
        <f t="shared" si="1"/>
        <v>2.0155053641008855</v>
      </c>
      <c r="E56" s="9">
        <f t="shared" si="2"/>
        <v>-1.1080334504339471</v>
      </c>
      <c r="H56" s="1">
        <v>46</v>
      </c>
      <c r="I56" s="9">
        <f t="shared" si="3"/>
        <v>2.5092903899362979</v>
      </c>
      <c r="J56" s="13">
        <f t="shared" si="4"/>
        <v>2.198907930871048</v>
      </c>
      <c r="K56" s="9">
        <f t="shared" si="5"/>
        <v>-1.2088598647399393</v>
      </c>
    </row>
    <row r="57" spans="2:11" x14ac:dyDescent="0.55000000000000004">
      <c r="B57" s="1">
        <v>47</v>
      </c>
      <c r="C57" s="9">
        <f t="shared" si="0"/>
        <v>2.35</v>
      </c>
      <c r="D57" s="13">
        <f t="shared" si="1"/>
        <v>2.184974741837391</v>
      </c>
      <c r="E57" s="9">
        <f t="shared" si="2"/>
        <v>-0.86509269880899298</v>
      </c>
      <c r="H57" s="1">
        <v>47</v>
      </c>
      <c r="I57" s="9">
        <f t="shared" si="3"/>
        <v>2.5599814183292717</v>
      </c>
      <c r="J57" s="13">
        <f t="shared" si="4"/>
        <v>2.380210527073412</v>
      </c>
      <c r="K57" s="9">
        <f t="shared" si="5"/>
        <v>-0.94239201450355037</v>
      </c>
    </row>
    <row r="58" spans="2:11" x14ac:dyDescent="0.55000000000000004">
      <c r="B58" s="1">
        <v>48</v>
      </c>
      <c r="C58" s="9">
        <f t="shared" si="0"/>
        <v>2.4000000000000004</v>
      </c>
      <c r="D58" s="13">
        <f t="shared" si="1"/>
        <v>2.3245995867087146</v>
      </c>
      <c r="E58" s="9">
        <f t="shared" si="2"/>
        <v>-0.59685572919565288</v>
      </c>
      <c r="H58" s="1">
        <v>48</v>
      </c>
      <c r="I58" s="9">
        <f t="shared" si="3"/>
        <v>2.6116964734231178</v>
      </c>
      <c r="J58" s="13">
        <f t="shared" si="4"/>
        <v>2.5296452261366609</v>
      </c>
      <c r="K58" s="9">
        <f t="shared" si="5"/>
        <v>-0.64950250128444587</v>
      </c>
    </row>
    <row r="59" spans="2:11" x14ac:dyDescent="0.55000000000000004">
      <c r="B59" s="1">
        <v>49</v>
      </c>
      <c r="C59" s="9">
        <f t="shared" si="0"/>
        <v>2.4500000000000002</v>
      </c>
      <c r="D59" s="13">
        <f t="shared" si="1"/>
        <v>2.4306810182204708</v>
      </c>
      <c r="E59" s="9">
        <f t="shared" si="2"/>
        <v>-0.30706642223254643</v>
      </c>
      <c r="H59" s="1">
        <v>49</v>
      </c>
      <c r="I59" s="9">
        <f t="shared" si="3"/>
        <v>2.6644562419294169</v>
      </c>
      <c r="J59" s="13">
        <f t="shared" si="4"/>
        <v>2.6434462086272994</v>
      </c>
      <c r="K59" s="9">
        <f t="shared" si="5"/>
        <v>-0.33394491649160901</v>
      </c>
    </row>
    <row r="60" spans="2:11" x14ac:dyDescent="0.55000000000000004">
      <c r="B60" s="1">
        <v>50</v>
      </c>
      <c r="C60" s="9">
        <f t="shared" si="0"/>
        <v>2.5</v>
      </c>
      <c r="D60" s="13">
        <f t="shared" si="1"/>
        <v>2.5</v>
      </c>
      <c r="E60" s="9">
        <f t="shared" si="2"/>
        <v>-6.1257422745431001E-16</v>
      </c>
      <c r="H60" s="1">
        <v>50</v>
      </c>
      <c r="I60" s="9">
        <f t="shared" si="3"/>
        <v>2.7182818284590451</v>
      </c>
      <c r="J60" s="13">
        <f t="shared" si="4"/>
        <v>2.7182818284590451</v>
      </c>
      <c r="K60" s="9">
        <f t="shared" si="5"/>
        <v>-6.6605975642855548E-16</v>
      </c>
    </row>
    <row r="61" spans="2:11" x14ac:dyDescent="0.55000000000000004">
      <c r="B61" s="1">
        <v>51</v>
      </c>
      <c r="C61" s="9">
        <f t="shared" si="0"/>
        <v>2.5500000000000003</v>
      </c>
      <c r="D61" s="13">
        <f t="shared" si="1"/>
        <v>2.5298924883519187</v>
      </c>
      <c r="E61" s="9">
        <f t="shared" si="2"/>
        <v>0.31959974558897569</v>
      </c>
      <c r="H61" s="1">
        <v>51</v>
      </c>
      <c r="I61" s="9">
        <f t="shared" si="3"/>
        <v>2.7731947639642978</v>
      </c>
      <c r="J61" s="13">
        <f t="shared" si="4"/>
        <v>2.7513272949373131</v>
      </c>
      <c r="K61" s="9">
        <f t="shared" si="5"/>
        <v>0.3475734670712427</v>
      </c>
    </row>
    <row r="62" spans="2:11" x14ac:dyDescent="0.55000000000000004">
      <c r="B62" s="1">
        <v>52</v>
      </c>
      <c r="C62" s="9">
        <f t="shared" si="0"/>
        <v>2.6</v>
      </c>
      <c r="D62" s="13">
        <f t="shared" si="1"/>
        <v>2.5183162189344408</v>
      </c>
      <c r="E62" s="9">
        <f t="shared" si="2"/>
        <v>0.6465937066286227</v>
      </c>
      <c r="H62" s="1">
        <v>52</v>
      </c>
      <c r="I62" s="9">
        <f t="shared" si="3"/>
        <v>2.8292170143515598</v>
      </c>
      <c r="J62" s="13">
        <f t="shared" si="4"/>
        <v>2.7403319592795414</v>
      </c>
      <c r="K62" s="9">
        <f t="shared" si="5"/>
        <v>0.70359766006397706</v>
      </c>
    </row>
    <row r="63" spans="2:11" x14ac:dyDescent="0.55000000000000004">
      <c r="B63" s="1">
        <v>53</v>
      </c>
      <c r="C63" s="9">
        <f t="shared" si="0"/>
        <v>2.6500000000000004</v>
      </c>
      <c r="D63" s="13">
        <f t="shared" si="1"/>
        <v>2.4639076876038666</v>
      </c>
      <c r="E63" s="9">
        <f t="shared" si="2"/>
        <v>0.9755300646143974</v>
      </c>
      <c r="H63" s="1">
        <v>53</v>
      </c>
      <c r="I63" s="9">
        <f t="shared" si="3"/>
        <v>2.8863709892679585</v>
      </c>
      <c r="J63" s="13">
        <f t="shared" si="4"/>
        <v>2.6836798753713582</v>
      </c>
      <c r="K63" s="9">
        <f t="shared" si="5"/>
        <v>1.0625440293062993</v>
      </c>
    </row>
    <row r="64" spans="2:11" x14ac:dyDescent="0.55000000000000004">
      <c r="B64" s="1">
        <v>54</v>
      </c>
      <c r="C64" s="9">
        <f t="shared" si="0"/>
        <v>2.7</v>
      </c>
      <c r="D64" s="13">
        <f t="shared" si="1"/>
        <v>2.3660280361184323</v>
      </c>
      <c r="E64" s="9">
        <f t="shared" si="2"/>
        <v>1.3007349200746303</v>
      </c>
      <c r="H64" s="1">
        <v>54</v>
      </c>
      <c r="I64" s="9">
        <f t="shared" si="3"/>
        <v>2.9446795510655241</v>
      </c>
      <c r="J64" s="13">
        <f t="shared" si="4"/>
        <v>2.5804423611872847</v>
      </c>
      <c r="K64" s="9">
        <f t="shared" si="5"/>
        <v>1.4186101927780046</v>
      </c>
    </row>
    <row r="65" spans="2:11" x14ac:dyDescent="0.55000000000000004">
      <c r="B65" s="1">
        <v>55</v>
      </c>
      <c r="C65" s="9">
        <f t="shared" si="0"/>
        <v>2.75</v>
      </c>
      <c r="D65" s="13">
        <f t="shared" si="1"/>
        <v>2.2247967345311057</v>
      </c>
      <c r="E65" s="9">
        <f t="shared" si="2"/>
        <v>1.6164094438043004</v>
      </c>
      <c r="H65" s="1">
        <v>55</v>
      </c>
      <c r="I65" s="9">
        <f t="shared" si="3"/>
        <v>3.0041660239464334</v>
      </c>
      <c r="J65" s="13">
        <f t="shared" si="4"/>
        <v>2.4304213672964803</v>
      </c>
      <c r="K65" s="9">
        <f t="shared" si="5"/>
        <v>1.7658044843138296</v>
      </c>
    </row>
    <row r="66" spans="2:11" x14ac:dyDescent="0.55000000000000004">
      <c r="B66" s="1">
        <v>56</v>
      </c>
      <c r="C66" s="9">
        <f t="shared" si="0"/>
        <v>2.8000000000000003</v>
      </c>
      <c r="D66" s="13">
        <f t="shared" si="1"/>
        <v>2.0411121567799526</v>
      </c>
      <c r="E66" s="9">
        <f t="shared" si="2"/>
        <v>1.9167318966003284</v>
      </c>
      <c r="H66" s="1">
        <v>56</v>
      </c>
      <c r="I66" s="9">
        <f t="shared" si="3"/>
        <v>3.0648542032930024</v>
      </c>
      <c r="J66" s="13">
        <f t="shared" si="4"/>
        <v>2.2341825618212439</v>
      </c>
      <c r="K66" s="9">
        <f t="shared" si="5"/>
        <v>2.0980370749576016</v>
      </c>
    </row>
    <row r="67" spans="2:11" x14ac:dyDescent="0.55000000000000004">
      <c r="B67" s="1">
        <v>57</v>
      </c>
      <c r="C67" s="9">
        <f t="shared" si="0"/>
        <v>2.85</v>
      </c>
      <c r="D67" s="13">
        <f t="shared" si="1"/>
        <v>1.8166583707837674</v>
      </c>
      <c r="E67" s="9">
        <f t="shared" si="2"/>
        <v>2.1959627419109977</v>
      </c>
      <c r="H67" s="1">
        <v>57</v>
      </c>
      <c r="I67" s="9">
        <f t="shared" si="3"/>
        <v>3.1267683651861562</v>
      </c>
      <c r="J67" s="13">
        <f t="shared" si="4"/>
        <v>1.9930771663569495</v>
      </c>
      <c r="K67" s="9">
        <f t="shared" si="5"/>
        <v>2.4092164324683365</v>
      </c>
    </row>
    <row r="68" spans="2:11" x14ac:dyDescent="0.55000000000000004">
      <c r="B68" s="1">
        <v>58</v>
      </c>
      <c r="C68" s="9">
        <f t="shared" si="0"/>
        <v>2.9000000000000004</v>
      </c>
      <c r="D68" s="13">
        <f t="shared" si="1"/>
        <v>1.5538977054390899</v>
      </c>
      <c r="E68" s="9">
        <f t="shared" si="2"/>
        <v>2.4485509839558444</v>
      </c>
      <c r="H68" s="1">
        <v>58</v>
      </c>
      <c r="I68" s="9">
        <f t="shared" si="3"/>
        <v>3.1899332761161845</v>
      </c>
      <c r="J68" s="13">
        <f t="shared" si="4"/>
        <v>1.7092517235381852</v>
      </c>
      <c r="K68" s="9">
        <f t="shared" si="5"/>
        <v>2.6933497455130251</v>
      </c>
    </row>
    <row r="69" spans="2:11" x14ac:dyDescent="0.55000000000000004">
      <c r="B69" s="1">
        <v>59</v>
      </c>
      <c r="C69" s="9">
        <f t="shared" si="0"/>
        <v>2.95</v>
      </c>
      <c r="D69" s="13">
        <f t="shared" si="1"/>
        <v>1.2560489101169656</v>
      </c>
      <c r="E69" s="9">
        <f t="shared" si="2"/>
        <v>2.6692398047747572</v>
      </c>
      <c r="H69" s="1">
        <v>59</v>
      </c>
      <c r="I69" s="9">
        <f t="shared" si="3"/>
        <v>3.2543742028896707</v>
      </c>
      <c r="J69" s="13">
        <f t="shared" si="4"/>
        <v>1.3856451425940133</v>
      </c>
      <c r="K69" s="9">
        <f t="shared" si="5"/>
        <v>2.9446458176221122</v>
      </c>
    </row>
    <row r="70" spans="2:11" x14ac:dyDescent="0.55000000000000004">
      <c r="B70" s="1">
        <v>60</v>
      </c>
      <c r="C70" s="9">
        <f t="shared" si="0"/>
        <v>3</v>
      </c>
      <c r="D70" s="13">
        <f t="shared" si="1"/>
        <v>0.92705098312484568</v>
      </c>
      <c r="E70" s="9">
        <f t="shared" si="2"/>
        <v>2.8531695488854596</v>
      </c>
      <c r="H70" s="1">
        <v>60</v>
      </c>
      <c r="I70" s="9">
        <f t="shared" si="3"/>
        <v>3.3201169227365472</v>
      </c>
      <c r="J70" s="13">
        <f t="shared" si="4"/>
        <v>1.0259725524374512</v>
      </c>
      <c r="K70" s="9">
        <f t="shared" si="5"/>
        <v>3.157618834230405</v>
      </c>
    </row>
    <row r="71" spans="2:11" x14ac:dyDescent="0.55000000000000004">
      <c r="B71" s="1">
        <v>61</v>
      </c>
      <c r="C71" s="9">
        <f t="shared" si="0"/>
        <v>3.0500000000000003</v>
      </c>
      <c r="D71" s="13">
        <f t="shared" si="1"/>
        <v>0.57151300948646055</v>
      </c>
      <c r="E71" s="9">
        <f t="shared" si="2"/>
        <v>2.9959761147225006</v>
      </c>
      <c r="H71" s="1">
        <v>61</v>
      </c>
      <c r="I71" s="9">
        <f t="shared" si="3"/>
        <v>3.3871877336213347</v>
      </c>
      <c r="J71" s="13">
        <f t="shared" si="4"/>
        <v>0.63469569027460737</v>
      </c>
      <c r="K71" s="9">
        <f t="shared" si="5"/>
        <v>3.3271913265608384</v>
      </c>
    </row>
    <row r="72" spans="2:11" x14ac:dyDescent="0.55000000000000004">
      <c r="B72" s="1">
        <v>62</v>
      </c>
      <c r="C72" s="9">
        <f t="shared" si="0"/>
        <v>3.1</v>
      </c>
      <c r="D72" s="13">
        <f t="shared" si="1"/>
        <v>0.19465061054087404</v>
      </c>
      <c r="E72" s="9">
        <f t="shared" si="2"/>
        <v>3.0938828581276421</v>
      </c>
      <c r="H72" s="1">
        <v>62</v>
      </c>
      <c r="I72" s="9">
        <f t="shared" si="3"/>
        <v>3.4556134647626755</v>
      </c>
      <c r="J72" s="13">
        <f t="shared" si="4"/>
        <v>0.21697976474494191</v>
      </c>
      <c r="K72" s="9">
        <f t="shared" si="5"/>
        <v>3.4487946009497774</v>
      </c>
    </row>
    <row r="73" spans="2:11" x14ac:dyDescent="0.55000000000000004">
      <c r="B73" s="1">
        <v>63</v>
      </c>
      <c r="C73" s="9">
        <f t="shared" si="0"/>
        <v>3.1500000000000004</v>
      </c>
      <c r="D73" s="13">
        <f t="shared" si="1"/>
        <v>-0.19779013651733784</v>
      </c>
      <c r="E73" s="9">
        <f t="shared" si="2"/>
        <v>3.1437841945490557</v>
      </c>
      <c r="H73" s="1">
        <v>63</v>
      </c>
      <c r="I73" s="9">
        <f t="shared" si="3"/>
        <v>3.5254214873653824</v>
      </c>
      <c r="J73" s="13">
        <f t="shared" si="4"/>
        <v>-0.22136304675147783</v>
      </c>
      <c r="K73" s="9">
        <f t="shared" si="5"/>
        <v>3.5184648733660038</v>
      </c>
    </row>
    <row r="74" spans="2:11" x14ac:dyDescent="0.55000000000000004">
      <c r="B74" s="1">
        <v>64</v>
      </c>
      <c r="C74" s="9">
        <f t="shared" si="0"/>
        <v>3.2</v>
      </c>
      <c r="D74" s="13">
        <f t="shared" si="1"/>
        <v>-0.59962020667432014</v>
      </c>
      <c r="E74" s="9">
        <f t="shared" si="2"/>
        <v>3.1433192023318037</v>
      </c>
      <c r="H74" s="1">
        <v>64</v>
      </c>
      <c r="I74" s="9">
        <f t="shared" si="3"/>
        <v>3.5966397255692817</v>
      </c>
      <c r="J74" s="13">
        <f t="shared" si="4"/>
        <v>-0.67394307986841329</v>
      </c>
      <c r="K74" s="9">
        <f t="shared" si="5"/>
        <v>3.532933347891035</v>
      </c>
    </row>
    <row r="75" spans="2:11" x14ac:dyDescent="0.55000000000000004">
      <c r="B75" s="1">
        <v>65</v>
      </c>
      <c r="C75" s="9">
        <f t="shared" ref="C75:C138" si="6">0.05*B75</f>
        <v>3.25</v>
      </c>
      <c r="D75" s="13">
        <f t="shared" ref="D75:D138" si="7">C75*COS(2*PI()*B75/50)</f>
        <v>-1.0043052317185781</v>
      </c>
      <c r="E75" s="9">
        <f t="shared" ref="E75:E138" si="8">C75*SIN(2*PI()*B75/50)</f>
        <v>3.0909336779592493</v>
      </c>
      <c r="H75" s="1">
        <v>65</v>
      </c>
      <c r="I75" s="9">
        <f t="shared" ref="I75:I138" si="9">EXP(0.02*H75)</f>
        <v>3.6692966676192444</v>
      </c>
      <c r="J75" s="13">
        <f t="shared" ref="J75:J138" si="10">I75*COS(2*PI()*H75/50)</f>
        <v>-1.1338750276977083</v>
      </c>
      <c r="K75" s="9">
        <f t="shared" ref="K75:K138" si="11">I75*SIN(2*PI()*H75/50)</f>
        <v>3.4897085059593751</v>
      </c>
    </row>
    <row r="76" spans="2:11" x14ac:dyDescent="0.55000000000000004">
      <c r="B76" s="1">
        <v>66</v>
      </c>
      <c r="C76" s="9">
        <f t="shared" si="6"/>
        <v>3.3000000000000003</v>
      </c>
      <c r="D76" s="13">
        <f t="shared" si="7"/>
        <v>-1.4050716621647421</v>
      </c>
      <c r="E76" s="9">
        <f t="shared" si="8"/>
        <v>2.9859292731378639</v>
      </c>
      <c r="H76" s="1">
        <v>66</v>
      </c>
      <c r="I76" s="9">
        <f t="shared" si="9"/>
        <v>3.7434213772608627</v>
      </c>
      <c r="J76" s="13">
        <f t="shared" si="10"/>
        <v>-1.5938713020396811</v>
      </c>
      <c r="K76" s="9">
        <f t="shared" si="11"/>
        <v>3.3871489309252327</v>
      </c>
    </row>
    <row r="77" spans="2:11" x14ac:dyDescent="0.55000000000000004">
      <c r="B77" s="1">
        <v>67</v>
      </c>
      <c r="C77" s="9">
        <f t="shared" si="6"/>
        <v>3.35</v>
      </c>
      <c r="D77" s="13">
        <f t="shared" si="7"/>
        <v>-1.7950197631796387</v>
      </c>
      <c r="E77" s="9">
        <f t="shared" si="8"/>
        <v>2.8284985504317506</v>
      </c>
      <c r="H77" s="1">
        <v>67</v>
      </c>
      <c r="I77" s="9">
        <f t="shared" si="9"/>
        <v>3.8190435053663361</v>
      </c>
      <c r="J77" s="13">
        <f t="shared" si="10"/>
        <v>-2.0463458413657967</v>
      </c>
      <c r="K77" s="9">
        <f t="shared" si="11"/>
        <v>3.2245250802879024</v>
      </c>
    </row>
    <row r="78" spans="2:11" x14ac:dyDescent="0.55000000000000004">
      <c r="B78" s="1">
        <v>68</v>
      </c>
      <c r="C78" s="9">
        <f t="shared" si="6"/>
        <v>3.4000000000000004</v>
      </c>
      <c r="D78" s="13">
        <f t="shared" si="7"/>
        <v>-2.1672415651455479</v>
      </c>
      <c r="E78" s="9">
        <f t="shared" si="8"/>
        <v>2.6197450254376813</v>
      </c>
      <c r="H78" s="1">
        <v>68</v>
      </c>
      <c r="I78" s="9">
        <f t="shared" si="9"/>
        <v>3.8961933017952148</v>
      </c>
      <c r="J78" s="13">
        <f t="shared" si="10"/>
        <v>-2.4835270792624295</v>
      </c>
      <c r="K78" s="9">
        <f t="shared" si="11"/>
        <v>3.0020685354475378</v>
      </c>
    </row>
    <row r="79" spans="2:11" x14ac:dyDescent="0.55000000000000004">
      <c r="B79" s="1">
        <v>69</v>
      </c>
      <c r="C79" s="9">
        <f t="shared" si="6"/>
        <v>3.45</v>
      </c>
      <c r="D79" s="13">
        <f t="shared" si="7"/>
        <v>-2.5149417646038708</v>
      </c>
      <c r="E79" s="9">
        <f t="shared" si="8"/>
        <v>2.3616875154539749</v>
      </c>
      <c r="H79" s="1">
        <v>69</v>
      </c>
      <c r="I79" s="9">
        <f t="shared" si="9"/>
        <v>3.9749016274947486</v>
      </c>
      <c r="J79" s="13">
        <f t="shared" si="10"/>
        <v>-2.8975785835299828</v>
      </c>
      <c r="K79" s="9">
        <f t="shared" si="11"/>
        <v>2.7210074054527635</v>
      </c>
    </row>
    <row r="80" spans="2:11" x14ac:dyDescent="0.55000000000000004">
      <c r="B80" s="1">
        <v>70</v>
      </c>
      <c r="C80" s="9">
        <f t="shared" si="6"/>
        <v>3.5</v>
      </c>
      <c r="D80" s="13">
        <f t="shared" si="7"/>
        <v>-2.8315594803123152</v>
      </c>
      <c r="E80" s="9">
        <f t="shared" si="8"/>
        <v>2.0572483830236568</v>
      </c>
      <c r="H80" s="1">
        <v>70</v>
      </c>
      <c r="I80" s="9">
        <f t="shared" si="9"/>
        <v>4.0551999668446754</v>
      </c>
      <c r="J80" s="13">
        <f t="shared" si="10"/>
        <v>-3.280725688766065</v>
      </c>
      <c r="K80" s="9">
        <f t="shared" si="11"/>
        <v>2.383586735608227</v>
      </c>
    </row>
    <row r="81" spans="2:11" x14ac:dyDescent="0.55000000000000004">
      <c r="B81" s="1">
        <v>71</v>
      </c>
      <c r="C81" s="9">
        <f t="shared" si="6"/>
        <v>3.5500000000000003</v>
      </c>
      <c r="D81" s="13">
        <f t="shared" si="7"/>
        <v>-3.1108887141557173</v>
      </c>
      <c r="E81" s="9">
        <f t="shared" si="8"/>
        <v>1.7102255430610871</v>
      </c>
      <c r="H81" s="1">
        <v>71</v>
      </c>
      <c r="I81" s="9">
        <f t="shared" si="9"/>
        <v>4.1371204402513921</v>
      </c>
      <c r="J81" s="13">
        <f t="shared" si="10"/>
        <v>-3.6253862779383059</v>
      </c>
      <c r="K81" s="9">
        <f t="shared" si="11"/>
        <v>1.9930729722924114</v>
      </c>
    </row>
    <row r="82" spans="2:11" x14ac:dyDescent="0.55000000000000004">
      <c r="B82" s="1">
        <v>72</v>
      </c>
      <c r="C82" s="9">
        <f t="shared" si="6"/>
        <v>3.6</v>
      </c>
      <c r="D82" s="13">
        <f t="shared" si="7"/>
        <v>-3.3471953491977051</v>
      </c>
      <c r="E82" s="9">
        <f t="shared" si="8"/>
        <v>1.3252483896648408</v>
      </c>
      <c r="H82" s="1">
        <v>72</v>
      </c>
      <c r="I82" s="9">
        <f t="shared" si="9"/>
        <v>4.2206958169965523</v>
      </c>
      <c r="J82" s="13">
        <f t="shared" si="10"/>
        <v>-3.9243037247302968</v>
      </c>
      <c r="K82" s="9">
        <f t="shared" si="11"/>
        <v>1.5537417596499472</v>
      </c>
    </row>
    <row r="83" spans="2:11" x14ac:dyDescent="0.55000000000000004">
      <c r="B83" s="1">
        <v>73</v>
      </c>
      <c r="C83" s="9">
        <f t="shared" si="6"/>
        <v>3.6500000000000004</v>
      </c>
      <c r="D83" s="13">
        <f t="shared" si="7"/>
        <v>-3.5353285381195034</v>
      </c>
      <c r="E83" s="9">
        <f t="shared" si="8"/>
        <v>0.90771808815172261</v>
      </c>
      <c r="H83" s="1">
        <v>73</v>
      </c>
      <c r="I83" s="9">
        <f t="shared" si="9"/>
        <v>4.3059595283452063</v>
      </c>
      <c r="J83" s="13">
        <f t="shared" si="10"/>
        <v>-4.1706798916565484</v>
      </c>
      <c r="K83" s="9">
        <f t="shared" si="11"/>
        <v>1.0708485892406037</v>
      </c>
    </row>
    <row r="84" spans="2:11" x14ac:dyDescent="0.55000000000000004">
      <c r="B84" s="1">
        <v>74</v>
      </c>
      <c r="C84" s="9">
        <f t="shared" si="6"/>
        <v>3.7</v>
      </c>
      <c r="D84" s="13">
        <f t="shared" si="7"/>
        <v>-3.6708243948635682</v>
      </c>
      <c r="E84" s="9">
        <f t="shared" si="8"/>
        <v>0.46373296418792442</v>
      </c>
      <c r="H84" s="1">
        <v>74</v>
      </c>
      <c r="I84" s="9">
        <f t="shared" si="9"/>
        <v>4.392945680918757</v>
      </c>
      <c r="J84" s="13">
        <f t="shared" si="10"/>
        <v>-4.3583059921154383</v>
      </c>
      <c r="K84" s="9">
        <f t="shared" si="11"/>
        <v>0.5505820870618906</v>
      </c>
    </row>
    <row r="85" spans="2:11" x14ac:dyDescent="0.55000000000000004">
      <c r="B85" s="1">
        <v>75</v>
      </c>
      <c r="C85" s="9">
        <f t="shared" si="6"/>
        <v>3.75</v>
      </c>
      <c r="D85" s="13">
        <f t="shared" si="7"/>
        <v>-3.75</v>
      </c>
      <c r="E85" s="9">
        <f t="shared" si="8"/>
        <v>1.3782920117721975E-15</v>
      </c>
      <c r="H85" s="1">
        <v>75</v>
      </c>
      <c r="I85" s="9">
        <f t="shared" si="9"/>
        <v>4.4816890703380645</v>
      </c>
      <c r="J85" s="13">
        <f t="shared" si="10"/>
        <v>-4.4816890703380645</v>
      </c>
      <c r="K85" s="9">
        <f t="shared" si="11"/>
        <v>1.6472203319716587E-15</v>
      </c>
    </row>
    <row r="86" spans="2:11" x14ac:dyDescent="0.55000000000000004">
      <c r="B86" s="1">
        <v>76</v>
      </c>
      <c r="C86" s="9">
        <f t="shared" si="6"/>
        <v>3.8000000000000003</v>
      </c>
      <c r="D86" s="13">
        <f t="shared" si="7"/>
        <v>-3.7700358649950165</v>
      </c>
      <c r="E86" s="9">
        <f t="shared" si="8"/>
        <v>-0.47626628754435213</v>
      </c>
      <c r="H86" s="1">
        <v>76</v>
      </c>
      <c r="I86" s="9">
        <f t="shared" si="9"/>
        <v>4.5722251951421589</v>
      </c>
      <c r="J86" s="13">
        <f t="shared" si="10"/>
        <v>-4.536171833820994</v>
      </c>
      <c r="K86" s="9">
        <f t="shared" si="11"/>
        <v>-0.57305176829134385</v>
      </c>
    </row>
    <row r="87" spans="2:11" x14ac:dyDescent="0.55000000000000004">
      <c r="B87" s="1">
        <v>77</v>
      </c>
      <c r="C87" s="9">
        <f t="shared" si="6"/>
        <v>3.85</v>
      </c>
      <c r="D87" s="13">
        <f t="shared" si="7"/>
        <v>-3.7290451703452296</v>
      </c>
      <c r="E87" s="9">
        <f t="shared" si="8"/>
        <v>-0.95745606558469087</v>
      </c>
      <c r="H87" s="1">
        <v>77</v>
      </c>
      <c r="I87" s="9">
        <f t="shared" si="9"/>
        <v>4.6645902709881257</v>
      </c>
      <c r="J87" s="13">
        <f t="shared" si="10"/>
        <v>-4.5180435900435363</v>
      </c>
      <c r="K87" s="9">
        <f t="shared" si="11"/>
        <v>-1.1600364281623163</v>
      </c>
    </row>
    <row r="88" spans="2:11" x14ac:dyDescent="0.55000000000000004">
      <c r="B88" s="1">
        <v>78</v>
      </c>
      <c r="C88" s="9">
        <f t="shared" si="6"/>
        <v>3.9000000000000004</v>
      </c>
      <c r="D88" s="13">
        <f t="shared" si="7"/>
        <v>-3.626128294964182</v>
      </c>
      <c r="E88" s="9">
        <f t="shared" si="8"/>
        <v>-1.4356857554702414</v>
      </c>
      <c r="H88" s="1">
        <v>78</v>
      </c>
      <c r="I88" s="9">
        <f t="shared" si="9"/>
        <v>4.7588212451378542</v>
      </c>
      <c r="J88" s="13">
        <f t="shared" si="10"/>
        <v>-4.4246400942746282</v>
      </c>
      <c r="K88" s="9">
        <f t="shared" si="11"/>
        <v>-1.7518389421727114</v>
      </c>
    </row>
    <row r="89" spans="2:11" x14ac:dyDescent="0.55000000000000004">
      <c r="B89" s="1">
        <v>79</v>
      </c>
      <c r="C89" s="9">
        <f t="shared" si="6"/>
        <v>3.95</v>
      </c>
      <c r="D89" s="13">
        <f t="shared" si="7"/>
        <v>-3.4614113861732609</v>
      </c>
      <c r="E89" s="9">
        <f t="shared" si="8"/>
        <v>-1.9029270127017766</v>
      </c>
      <c r="H89" s="1">
        <v>79</v>
      </c>
      <c r="I89" s="9">
        <f t="shared" si="9"/>
        <v>4.854955811237434</v>
      </c>
      <c r="J89" s="13">
        <f t="shared" si="10"/>
        <v>-4.2544302087051378</v>
      </c>
      <c r="K89" s="9">
        <f t="shared" si="11"/>
        <v>-2.3388927996651088</v>
      </c>
    </row>
    <row r="90" spans="2:11" x14ac:dyDescent="0.55000000000000004">
      <c r="B90" s="1">
        <v>80</v>
      </c>
      <c r="C90" s="9">
        <f t="shared" si="6"/>
        <v>4</v>
      </c>
      <c r="D90" s="13">
        <f t="shared" si="7"/>
        <v>-3.2360679774997907</v>
      </c>
      <c r="E90" s="9">
        <f t="shared" si="8"/>
        <v>-2.3511410091698912</v>
      </c>
      <c r="H90" s="1">
        <v>80</v>
      </c>
      <c r="I90" s="9">
        <f t="shared" si="9"/>
        <v>4.9530324243951149</v>
      </c>
      <c r="J90" s="13">
        <f t="shared" si="10"/>
        <v>-4.0070874050257963</v>
      </c>
      <c r="K90" s="9">
        <f t="shared" si="11"/>
        <v>-2.9113194131858808</v>
      </c>
    </row>
    <row r="91" spans="2:11" x14ac:dyDescent="0.55000000000000004">
      <c r="B91" s="1">
        <v>81</v>
      </c>
      <c r="C91" s="9">
        <f t="shared" si="6"/>
        <v>4.05</v>
      </c>
      <c r="D91" s="13">
        <f t="shared" si="7"/>
        <v>-2.9523229410567198</v>
      </c>
      <c r="E91" s="9">
        <f t="shared" si="8"/>
        <v>-2.7724157790111854</v>
      </c>
      <c r="H91" s="1">
        <v>81</v>
      </c>
      <c r="I91" s="9">
        <f t="shared" si="9"/>
        <v>5.0530903165638676</v>
      </c>
      <c r="J91" s="13">
        <f t="shared" si="10"/>
        <v>-3.6835443123019926</v>
      </c>
      <c r="K91" s="9">
        <f t="shared" si="11"/>
        <v>-3.4590783522000725</v>
      </c>
    </row>
    <row r="92" spans="2:11" x14ac:dyDescent="0.55000000000000004">
      <c r="B92" s="1">
        <v>82</v>
      </c>
      <c r="C92" s="9">
        <f t="shared" si="6"/>
        <v>4.1000000000000005</v>
      </c>
      <c r="D92" s="13">
        <f t="shared" si="7"/>
        <v>-2.6134383579696339</v>
      </c>
      <c r="E92" s="9">
        <f t="shared" si="8"/>
        <v>-3.1591042953807311</v>
      </c>
      <c r="H92" s="1">
        <v>82</v>
      </c>
      <c r="I92" s="9">
        <f t="shared" si="9"/>
        <v>5.1551695122346821</v>
      </c>
      <c r="J92" s="13">
        <f t="shared" si="10"/>
        <v>-3.2860287183194448</v>
      </c>
      <c r="K92" s="9">
        <f t="shared" si="11"/>
        <v>-3.9721263779308225</v>
      </c>
    </row>
    <row r="93" spans="2:11" x14ac:dyDescent="0.55000000000000004">
      <c r="B93" s="1">
        <v>83</v>
      </c>
      <c r="C93" s="9">
        <f t="shared" si="6"/>
        <v>4.1500000000000004</v>
      </c>
      <c r="D93" s="13">
        <f t="shared" si="7"/>
        <v>-2.2236811991628325</v>
      </c>
      <c r="E93" s="9">
        <f t="shared" si="8"/>
        <v>-3.503960890833365</v>
      </c>
      <c r="H93" s="1">
        <v>83</v>
      </c>
      <c r="I93" s="9">
        <f t="shared" si="9"/>
        <v>5.2593108444468992</v>
      </c>
      <c r="J93" s="13">
        <f t="shared" si="10"/>
        <v>-2.8180796735782576</v>
      </c>
      <c r="K93" s="9">
        <f t="shared" si="11"/>
        <v>-4.4405830148621046</v>
      </c>
    </row>
    <row r="94" spans="2:11" x14ac:dyDescent="0.55000000000000004">
      <c r="B94" s="1">
        <v>84</v>
      </c>
      <c r="C94" s="9">
        <f t="shared" si="6"/>
        <v>4.2</v>
      </c>
      <c r="D94" s="13">
        <f t="shared" si="7"/>
        <v>-1.7882730245733041</v>
      </c>
      <c r="E94" s="9">
        <f t="shared" si="8"/>
        <v>-3.8002736203572827</v>
      </c>
      <c r="H94" s="1">
        <v>84</v>
      </c>
      <c r="I94" s="9">
        <f t="shared" si="9"/>
        <v>5.3655559711219745</v>
      </c>
      <c r="J94" s="13">
        <f t="shared" si="10"/>
        <v>-2.2845426202370582</v>
      </c>
      <c r="K94" s="9">
        <f t="shared" si="11"/>
        <v>-4.8549001941917478</v>
      </c>
    </row>
    <row r="95" spans="2:11" x14ac:dyDescent="0.55000000000000004">
      <c r="B95" s="1">
        <v>85</v>
      </c>
      <c r="C95" s="9">
        <f t="shared" si="6"/>
        <v>4.25</v>
      </c>
      <c r="D95" s="13">
        <f t="shared" si="7"/>
        <v>-1.3133222260935282</v>
      </c>
      <c r="E95" s="9">
        <f t="shared" si="8"/>
        <v>-4.0419901942544021</v>
      </c>
      <c r="H95" s="1">
        <v>85</v>
      </c>
      <c r="I95" s="9">
        <f t="shared" si="9"/>
        <v>5.4739473917271999</v>
      </c>
      <c r="J95" s="13">
        <f t="shared" si="10"/>
        <v>-1.6915427703581245</v>
      </c>
      <c r="K95" s="9">
        <f t="shared" si="11"/>
        <v>-5.2060333367590124</v>
      </c>
    </row>
    <row r="96" spans="2:11" x14ac:dyDescent="0.55000000000000004">
      <c r="B96" s="1">
        <v>86</v>
      </c>
      <c r="C96" s="9">
        <f t="shared" si="6"/>
        <v>4.3</v>
      </c>
      <c r="D96" s="13">
        <f t="shared" si="7"/>
        <v>-0.80573965271862069</v>
      </c>
      <c r="E96" s="9">
        <f t="shared" si="8"/>
        <v>-4.2238351781333607</v>
      </c>
      <c r="H96" s="1">
        <v>86</v>
      </c>
      <c r="I96" s="9">
        <f t="shared" si="9"/>
        <v>5.5845284642760538</v>
      </c>
      <c r="J96" s="13">
        <f t="shared" si="10"/>
        <v>-1.0464362849774511</v>
      </c>
      <c r="K96" s="9">
        <f t="shared" si="11"/>
        <v>-5.4856111117898294</v>
      </c>
    </row>
    <row r="97" spans="2:11" x14ac:dyDescent="0.55000000000000004">
      <c r="B97" s="1">
        <v>87</v>
      </c>
      <c r="C97" s="9">
        <f t="shared" si="6"/>
        <v>4.3500000000000005</v>
      </c>
      <c r="D97" s="13">
        <f t="shared" si="7"/>
        <v>-0.27313875995252124</v>
      </c>
      <c r="E97" s="9">
        <f t="shared" si="8"/>
        <v>-4.3414162686629814</v>
      </c>
      <c r="H97" s="1">
        <v>87</v>
      </c>
      <c r="I97" s="9">
        <f t="shared" si="9"/>
        <v>5.6973434226719908</v>
      </c>
      <c r="J97" s="13">
        <f t="shared" si="10"/>
        <v>-0.35773915344650126</v>
      </c>
      <c r="K97" s="9">
        <f t="shared" si="11"/>
        <v>-5.6861010168616577</v>
      </c>
    </row>
    <row r="98" spans="2:11" x14ac:dyDescent="0.55000000000000004">
      <c r="B98" s="1">
        <v>88</v>
      </c>
      <c r="C98" s="9">
        <f t="shared" si="6"/>
        <v>4.4000000000000004</v>
      </c>
      <c r="D98" s="13">
        <f t="shared" si="7"/>
        <v>0.27627828592897546</v>
      </c>
      <c r="E98" s="9">
        <f t="shared" si="8"/>
        <v>-4.3913176050843949</v>
      </c>
      <c r="H98" s="1">
        <v>88</v>
      </c>
      <c r="I98" s="9">
        <f t="shared" si="9"/>
        <v>5.8124373944025889</v>
      </c>
      <c r="J98" s="13">
        <f t="shared" si="10"/>
        <v>0.36496596372614259</v>
      </c>
      <c r="K98" s="9">
        <f t="shared" si="11"/>
        <v>-5.8009678769297626</v>
      </c>
    </row>
    <row r="99" spans="2:11" x14ac:dyDescent="0.55000000000000004">
      <c r="B99" s="1">
        <v>89</v>
      </c>
      <c r="C99" s="9">
        <f t="shared" si="6"/>
        <v>4.45</v>
      </c>
      <c r="D99" s="13">
        <f t="shared" si="7"/>
        <v>0.83384684990647584</v>
      </c>
      <c r="E99" s="9">
        <f t="shared" si="8"/>
        <v>-4.3711782657426648</v>
      </c>
      <c r="H99" s="1">
        <v>89</v>
      </c>
      <c r="I99" s="9">
        <f t="shared" si="9"/>
        <v>5.9298564185911458</v>
      </c>
      <c r="J99" s="13">
        <f t="shared" si="10"/>
        <v>1.1111442910202076</v>
      </c>
      <c r="K99" s="9">
        <f t="shared" si="11"/>
        <v>-5.8248223586337646</v>
      </c>
    </row>
    <row r="100" spans="2:11" x14ac:dyDescent="0.55000000000000004">
      <c r="B100" s="1">
        <v>90</v>
      </c>
      <c r="C100" s="9">
        <f t="shared" si="6"/>
        <v>4.5</v>
      </c>
      <c r="D100" s="13">
        <f t="shared" si="7"/>
        <v>1.3905764746872615</v>
      </c>
      <c r="E100" s="9">
        <f t="shared" si="8"/>
        <v>-4.2797543233281923</v>
      </c>
      <c r="H100" s="1">
        <v>90</v>
      </c>
      <c r="I100" s="9">
        <f t="shared" si="9"/>
        <v>6.0496474644129465</v>
      </c>
      <c r="J100" s="13">
        <f t="shared" si="10"/>
        <v>1.8694438764809078</v>
      </c>
      <c r="K100" s="9">
        <f t="shared" si="11"/>
        <v>-5.7535566423183875</v>
      </c>
    </row>
    <row r="101" spans="2:11" x14ac:dyDescent="0.55000000000000004">
      <c r="B101" s="1">
        <v>91</v>
      </c>
      <c r="C101" s="9">
        <f t="shared" si="6"/>
        <v>4.55</v>
      </c>
      <c r="D101" s="13">
        <f t="shared" si="7"/>
        <v>1.9372957766210757</v>
      </c>
      <c r="E101" s="9">
        <f t="shared" si="8"/>
        <v>-4.1169630887203912</v>
      </c>
      <c r="H101" s="1">
        <v>91</v>
      </c>
      <c r="I101" s="9">
        <f t="shared" si="9"/>
        <v>6.1718584498835538</v>
      </c>
      <c r="J101" s="13">
        <f t="shared" si="10"/>
        <v>2.6278495184313204</v>
      </c>
      <c r="K101" s="9">
        <f t="shared" si="11"/>
        <v>-5.5844644894456357</v>
      </c>
    </row>
    <row r="102" spans="2:11" x14ac:dyDescent="0.55000000000000004">
      <c r="B102" s="1">
        <v>92</v>
      </c>
      <c r="C102" s="9">
        <f t="shared" si="6"/>
        <v>4.6000000000000005</v>
      </c>
      <c r="D102" s="13">
        <f t="shared" si="7"/>
        <v>2.4648032569033771</v>
      </c>
      <c r="E102" s="9">
        <f t="shared" si="8"/>
        <v>-3.8839084573092744</v>
      </c>
      <c r="H102" s="1">
        <v>92</v>
      </c>
      <c r="I102" s="9">
        <f t="shared" si="9"/>
        <v>6.2965382610266571</v>
      </c>
      <c r="J102" s="13">
        <f t="shared" si="10"/>
        <v>3.3738539158685281</v>
      </c>
      <c r="K102" s="9">
        <f t="shared" si="11"/>
        <v>-5.3163430877767093</v>
      </c>
    </row>
    <row r="103" spans="2:11" x14ac:dyDescent="0.55000000000000004">
      <c r="B103" s="1">
        <v>93</v>
      </c>
      <c r="C103" s="9">
        <f t="shared" si="6"/>
        <v>4.6500000000000004</v>
      </c>
      <c r="D103" s="13">
        <f t="shared" si="7"/>
        <v>2.9640215523314044</v>
      </c>
      <c r="E103" s="9">
        <f t="shared" si="8"/>
        <v>-3.5828865789074222</v>
      </c>
      <c r="H103" s="1">
        <v>93</v>
      </c>
      <c r="I103" s="9">
        <f t="shared" si="9"/>
        <v>6.4237367714291347</v>
      </c>
      <c r="J103" s="13">
        <f t="shared" si="10"/>
        <v>4.0946439219397215</v>
      </c>
      <c r="K103" s="9">
        <f t="shared" si="11"/>
        <v>-4.9495742504919447</v>
      </c>
    </row>
    <row r="104" spans="2:11" x14ac:dyDescent="0.55000000000000004">
      <c r="B104" s="1">
        <v>94</v>
      </c>
      <c r="C104" s="9">
        <f t="shared" si="6"/>
        <v>4.7</v>
      </c>
      <c r="D104" s="13">
        <f t="shared" si="7"/>
        <v>3.4261525488806348</v>
      </c>
      <c r="E104" s="9">
        <f t="shared" si="8"/>
        <v>-3.2173713978648362</v>
      </c>
      <c r="H104" s="1">
        <v>94</v>
      </c>
      <c r="I104" s="9">
        <f t="shared" si="9"/>
        <v>6.5535048621911489</v>
      </c>
      <c r="J104" s="13">
        <f t="shared" si="10"/>
        <v>4.777299444191029</v>
      </c>
      <c r="K104" s="9">
        <f t="shared" si="11"/>
        <v>-4.4861827871025399</v>
      </c>
    </row>
    <row r="105" spans="2:11" x14ac:dyDescent="0.55000000000000004">
      <c r="B105" s="1">
        <v>95</v>
      </c>
      <c r="C105" s="9">
        <f t="shared" si="6"/>
        <v>4.75</v>
      </c>
      <c r="D105" s="13">
        <f t="shared" si="7"/>
        <v>3.8428307232809988</v>
      </c>
      <c r="E105" s="9">
        <f t="shared" si="8"/>
        <v>-2.7919799483892489</v>
      </c>
      <c r="H105" s="1">
        <v>95</v>
      </c>
      <c r="I105" s="9">
        <f t="shared" si="9"/>
        <v>6.6858944422792703</v>
      </c>
      <c r="J105" s="13">
        <f t="shared" si="10"/>
        <v>5.409002226400939</v>
      </c>
      <c r="K105" s="9">
        <f t="shared" si="11"/>
        <v>-3.9298701515559671</v>
      </c>
    </row>
    <row r="106" spans="2:11" x14ac:dyDescent="0.55000000000000004">
      <c r="B106" s="1">
        <v>96</v>
      </c>
      <c r="C106" s="9">
        <f t="shared" si="6"/>
        <v>4.8000000000000007</v>
      </c>
      <c r="D106" s="13">
        <f t="shared" si="7"/>
        <v>4.2062720642105429</v>
      </c>
      <c r="E106" s="9">
        <f t="shared" si="8"/>
        <v>-2.3124176356882389</v>
      </c>
      <c r="H106" s="1">
        <v>96</v>
      </c>
      <c r="I106" s="9">
        <f t="shared" si="9"/>
        <v>6.8209584692907494</v>
      </c>
      <c r="J106" s="13">
        <f t="shared" si="10"/>
        <v>5.9772514709412468</v>
      </c>
      <c r="K106" s="9">
        <f t="shared" si="11"/>
        <v>-3.2860218034760376</v>
      </c>
    </row>
    <row r="107" spans="2:11" x14ac:dyDescent="0.55000000000000004">
      <c r="B107" s="1">
        <v>97</v>
      </c>
      <c r="C107" s="9">
        <f t="shared" si="6"/>
        <v>4.8500000000000005</v>
      </c>
      <c r="D107" s="13">
        <f t="shared" si="7"/>
        <v>4.5094159565580192</v>
      </c>
      <c r="E107" s="9">
        <f t="shared" si="8"/>
        <v>-1.785404080520689</v>
      </c>
      <c r="H107" s="1">
        <v>97</v>
      </c>
      <c r="I107" s="9">
        <f t="shared" si="9"/>
        <v>6.9587509706372721</v>
      </c>
      <c r="J107" s="13">
        <f t="shared" si="10"/>
        <v>6.4700830236505809</v>
      </c>
      <c r="K107" s="9">
        <f t="shared" si="11"/>
        <v>-2.5616870883099154</v>
      </c>
    </row>
    <row r="108" spans="2:11" x14ac:dyDescent="0.55000000000000004">
      <c r="B108" s="1">
        <v>98</v>
      </c>
      <c r="C108" s="9">
        <f t="shared" si="6"/>
        <v>4.9000000000000004</v>
      </c>
      <c r="D108" s="13">
        <f t="shared" si="7"/>
        <v>4.7460574895302923</v>
      </c>
      <c r="E108" s="9">
        <f t="shared" si="8"/>
        <v>-1.2185804471077926</v>
      </c>
      <c r="H108" s="1">
        <v>98</v>
      </c>
      <c r="I108" s="9">
        <f t="shared" si="9"/>
        <v>7.0993270651566327</v>
      </c>
      <c r="J108" s="13">
        <f t="shared" si="10"/>
        <v>6.8762886506554572</v>
      </c>
      <c r="K108" s="9">
        <f t="shared" si="11"/>
        <v>-1.7655308467802084</v>
      </c>
    </row>
    <row r="109" spans="2:11" x14ac:dyDescent="0.55000000000000004">
      <c r="B109" s="1">
        <v>99</v>
      </c>
      <c r="C109" s="9">
        <f t="shared" si="6"/>
        <v>4.95</v>
      </c>
      <c r="D109" s="13">
        <f t="shared" si="7"/>
        <v>4.910967771506666</v>
      </c>
      <c r="E109" s="9">
        <f t="shared" si="8"/>
        <v>-0.62039950614330486</v>
      </c>
      <c r="H109" s="1">
        <v>99</v>
      </c>
      <c r="I109" s="9">
        <f t="shared" si="9"/>
        <v>7.2427429851610121</v>
      </c>
      <c r="J109" s="13">
        <f t="shared" si="10"/>
        <v>7.1856317934205478</v>
      </c>
      <c r="K109" s="9">
        <f t="shared" si="11"/>
        <v>-0.90775639820540954</v>
      </c>
    </row>
    <row r="110" spans="2:11" x14ac:dyDescent="0.55000000000000004">
      <c r="B110" s="1">
        <v>100</v>
      </c>
      <c r="C110" s="9">
        <f t="shared" si="6"/>
        <v>5</v>
      </c>
      <c r="D110" s="13">
        <f t="shared" si="7"/>
        <v>5</v>
      </c>
      <c r="E110" s="9">
        <f t="shared" si="8"/>
        <v>-2.45029690981724E-15</v>
      </c>
      <c r="H110" s="1">
        <v>100</v>
      </c>
      <c r="I110" s="9">
        <f t="shared" si="9"/>
        <v>7.3890560989306504</v>
      </c>
      <c r="J110" s="13">
        <f t="shared" si="10"/>
        <v>7.3890560989306504</v>
      </c>
      <c r="K110" s="9">
        <f t="shared" si="11"/>
        <v>-3.6210762651352004E-15</v>
      </c>
    </row>
    <row r="111" spans="2:11" x14ac:dyDescent="0.55000000000000004">
      <c r="B111" s="1">
        <v>101</v>
      </c>
      <c r="C111" s="9">
        <f t="shared" si="6"/>
        <v>5.0500000000000007</v>
      </c>
      <c r="D111" s="13">
        <f t="shared" si="7"/>
        <v>5.0101792416381148</v>
      </c>
      <c r="E111" s="9">
        <f t="shared" si="8"/>
        <v>0.6329328294997304</v>
      </c>
      <c r="H111" s="1">
        <v>101</v>
      </c>
      <c r="I111" s="9">
        <f t="shared" si="9"/>
        <v>7.5383249336619222</v>
      </c>
      <c r="J111" s="13">
        <f t="shared" si="10"/>
        <v>7.4788829899714804</v>
      </c>
      <c r="K111" s="9">
        <f t="shared" si="11"/>
        <v>0.94480263959425892</v>
      </c>
    </row>
    <row r="112" spans="2:11" x14ac:dyDescent="0.55000000000000004">
      <c r="B112" s="1">
        <v>102</v>
      </c>
      <c r="C112" s="9">
        <f t="shared" si="6"/>
        <v>5.1000000000000005</v>
      </c>
      <c r="D112" s="13">
        <f t="shared" si="7"/>
        <v>4.9397741217560194</v>
      </c>
      <c r="E112" s="9">
        <f t="shared" si="8"/>
        <v>1.2683184245407588</v>
      </c>
      <c r="H112" s="1">
        <v>102</v>
      </c>
      <c r="I112" s="9">
        <f t="shared" si="9"/>
        <v>7.690609198878998</v>
      </c>
      <c r="J112" s="13">
        <f t="shared" si="10"/>
        <v>7.4489945688551495</v>
      </c>
      <c r="K112" s="9">
        <f t="shared" si="11"/>
        <v>1.9125767338982114</v>
      </c>
    </row>
    <row r="113" spans="2:11" x14ac:dyDescent="0.55000000000000004">
      <c r="B113" s="1">
        <v>103</v>
      </c>
      <c r="C113" s="9">
        <f t="shared" si="6"/>
        <v>5.15</v>
      </c>
      <c r="D113" s="13">
        <f t="shared" si="7"/>
        <v>4.7883489023244961</v>
      </c>
      <c r="E113" s="9">
        <f t="shared" si="8"/>
        <v>1.8958414463260873</v>
      </c>
      <c r="H113" s="1">
        <v>103</v>
      </c>
      <c r="I113" s="9">
        <f t="shared" si="9"/>
        <v>7.845969810318449</v>
      </c>
      <c r="J113" s="13">
        <f t="shared" si="10"/>
        <v>7.2949982386232</v>
      </c>
      <c r="K113" s="9">
        <f t="shared" si="11"/>
        <v>2.8882941268009601</v>
      </c>
    </row>
    <row r="114" spans="2:11" x14ac:dyDescent="0.55000000000000004">
      <c r="B114" s="1">
        <v>104</v>
      </c>
      <c r="C114" s="9">
        <f t="shared" si="6"/>
        <v>5.2</v>
      </c>
      <c r="D114" s="13">
        <f t="shared" si="7"/>
        <v>4.5567947362280901</v>
      </c>
      <c r="E114" s="9">
        <f t="shared" si="8"/>
        <v>2.5051191053289203</v>
      </c>
      <c r="H114" s="1">
        <v>104</v>
      </c>
      <c r="I114" s="9">
        <f t="shared" si="9"/>
        <v>8.0044689142963534</v>
      </c>
      <c r="J114" s="13">
        <f t="shared" si="10"/>
        <v>7.0143695798013459</v>
      </c>
      <c r="K114" s="9">
        <f t="shared" si="11"/>
        <v>3.8561823086952374</v>
      </c>
    </row>
    <row r="115" spans="2:11" x14ac:dyDescent="0.55000000000000004">
      <c r="B115" s="1">
        <v>105</v>
      </c>
      <c r="C115" s="9">
        <f t="shared" si="6"/>
        <v>5.25</v>
      </c>
      <c r="D115" s="13">
        <f t="shared" si="7"/>
        <v>4.2473392204684757</v>
      </c>
      <c r="E115" s="9">
        <f t="shared" si="8"/>
        <v>3.0858725745354816</v>
      </c>
      <c r="H115" s="1">
        <v>105</v>
      </c>
      <c r="I115" s="9">
        <f t="shared" si="9"/>
        <v>8.1661699125676517</v>
      </c>
      <c r="J115" s="13">
        <f t="shared" si="10"/>
        <v>6.6065702382206108</v>
      </c>
      <c r="K115" s="9">
        <f t="shared" si="11"/>
        <v>4.7999542423217765</v>
      </c>
    </row>
    <row r="116" spans="2:11" x14ac:dyDescent="0.55000000000000004">
      <c r="B116" s="1">
        <v>106</v>
      </c>
      <c r="C116" s="9">
        <f t="shared" si="6"/>
        <v>5.3000000000000007</v>
      </c>
      <c r="D116" s="13">
        <f t="shared" si="7"/>
        <v>3.8635337253334794</v>
      </c>
      <c r="E116" s="9">
        <f t="shared" si="8"/>
        <v>3.6280996614220524</v>
      </c>
      <c r="H116" s="1">
        <v>106</v>
      </c>
      <c r="I116" s="9">
        <f t="shared" si="9"/>
        <v>8.3311374876876929</v>
      </c>
      <c r="J116" s="13">
        <f t="shared" si="10"/>
        <v>6.073137859258761</v>
      </c>
      <c r="K116" s="9">
        <f t="shared" si="11"/>
        <v>5.7030560562906194</v>
      </c>
    </row>
    <row r="117" spans="2:11" x14ac:dyDescent="0.55000000000000004">
      <c r="B117" s="1">
        <v>107</v>
      </c>
      <c r="C117" s="9">
        <f t="shared" si="6"/>
        <v>5.3500000000000005</v>
      </c>
      <c r="D117" s="13">
        <f t="shared" si="7"/>
        <v>3.4102183451554913</v>
      </c>
      <c r="E117" s="9">
        <f t="shared" si="8"/>
        <v>4.1222458488504721</v>
      </c>
      <c r="H117" s="1">
        <v>107</v>
      </c>
      <c r="I117" s="9">
        <f t="shared" si="9"/>
        <v>8.499437628886124</v>
      </c>
      <c r="J117" s="13">
        <f t="shared" si="10"/>
        <v>5.4177454440247379</v>
      </c>
      <c r="K117" s="9">
        <f t="shared" si="11"/>
        <v>6.5489292492036117</v>
      </c>
    </row>
    <row r="118" spans="2:11" x14ac:dyDescent="0.55000000000000004">
      <c r="B118" s="1">
        <v>108</v>
      </c>
      <c r="C118" s="9">
        <f t="shared" si="6"/>
        <v>5.4</v>
      </c>
      <c r="D118" s="13">
        <f t="shared" si="7"/>
        <v>2.8934646928865857</v>
      </c>
      <c r="E118" s="9">
        <f t="shared" si="8"/>
        <v>4.5593707977108791</v>
      </c>
      <c r="H118" s="1">
        <v>108</v>
      </c>
      <c r="I118" s="9">
        <f t="shared" si="9"/>
        <v>8.6711376584634561</v>
      </c>
      <c r="J118" s="13">
        <f t="shared" si="10"/>
        <v>4.6462279003561608</v>
      </c>
      <c r="K118" s="9">
        <f t="shared" si="11"/>
        <v>7.3212836709128464</v>
      </c>
    </row>
    <row r="119" spans="2:11" x14ac:dyDescent="0.55000000000000004">
      <c r="B119" s="1">
        <v>109</v>
      </c>
      <c r="C119" s="9">
        <f t="shared" si="6"/>
        <v>5.45</v>
      </c>
      <c r="D119" s="13">
        <f t="shared" si="7"/>
        <v>2.320497139029654</v>
      </c>
      <c r="E119" s="9">
        <f t="shared" si="8"/>
        <v>4.9313074359398028</v>
      </c>
      <c r="H119" s="1">
        <v>109</v>
      </c>
      <c r="I119" s="9">
        <f t="shared" si="9"/>
        <v>8.8463062587208832</v>
      </c>
      <c r="J119" s="13">
        <f t="shared" si="10"/>
        <v>3.7665740118058588</v>
      </c>
      <c r="K119" s="9">
        <f t="shared" si="11"/>
        <v>8.0043772172901111</v>
      </c>
    </row>
    <row r="120" spans="2:11" x14ac:dyDescent="0.55000000000000004">
      <c r="B120" s="1">
        <v>110</v>
      </c>
      <c r="C120" s="9">
        <f t="shared" si="6"/>
        <v>5.5</v>
      </c>
      <c r="D120" s="13">
        <f t="shared" si="7"/>
        <v>1.6995934690622136</v>
      </c>
      <c r="E120" s="9">
        <f t="shared" si="8"/>
        <v>5.2308108396233441</v>
      </c>
      <c r="H120" s="1">
        <v>110</v>
      </c>
      <c r="I120" s="9">
        <f t="shared" si="9"/>
        <v>9.025013499434122</v>
      </c>
      <c r="J120" s="13">
        <f t="shared" si="10"/>
        <v>2.7888825457884634</v>
      </c>
      <c r="K120" s="9">
        <f t="shared" si="11"/>
        <v>8.5832978982885475</v>
      </c>
    </row>
    <row r="121" spans="2:11" x14ac:dyDescent="0.55000000000000004">
      <c r="B121" s="1">
        <v>111</v>
      </c>
      <c r="C121" s="9">
        <f t="shared" si="6"/>
        <v>5.5500000000000007</v>
      </c>
      <c r="D121" s="13">
        <f t="shared" si="7"/>
        <v>1.0399662959507689</v>
      </c>
      <c r="E121" s="9">
        <f t="shared" si="8"/>
        <v>5.4516942415442236</v>
      </c>
      <c r="H121" s="1">
        <v>111</v>
      </c>
      <c r="I121" s="9">
        <f t="shared" si="9"/>
        <v>9.2073308658822519</v>
      </c>
      <c r="J121" s="13">
        <f t="shared" si="10"/>
        <v>1.72528176147473</v>
      </c>
      <c r="K121" s="9">
        <f t="shared" si="11"/>
        <v>9.0442437227968746</v>
      </c>
    </row>
    <row r="122" spans="2:11" x14ac:dyDescent="0.55000000000000004">
      <c r="B122" s="1">
        <v>112</v>
      </c>
      <c r="C122" s="9">
        <f t="shared" si="6"/>
        <v>5.6000000000000005</v>
      </c>
      <c r="D122" s="13">
        <f t="shared" si="7"/>
        <v>0.35162690936415603</v>
      </c>
      <c r="E122" s="9">
        <f t="shared" si="8"/>
        <v>5.5889496791983211</v>
      </c>
      <c r="H122" s="1">
        <v>112</v>
      </c>
      <c r="I122" s="9">
        <f t="shared" si="9"/>
        <v>9.3933312874427841</v>
      </c>
      <c r="J122" s="13">
        <f t="shared" si="10"/>
        <v>0.5898121516494883</v>
      </c>
      <c r="K122" s="9">
        <f t="shared" si="11"/>
        <v>9.3747956938494461</v>
      </c>
    </row>
    <row r="123" spans="2:11" x14ac:dyDescent="0.55000000000000004">
      <c r="B123" s="1">
        <v>113</v>
      </c>
      <c r="C123" s="9">
        <f t="shared" si="6"/>
        <v>5.65</v>
      </c>
      <c r="D123" s="13">
        <f t="shared" si="7"/>
        <v>-0.35476643534061547</v>
      </c>
      <c r="E123" s="9">
        <f t="shared" si="8"/>
        <v>5.6388510156197356</v>
      </c>
      <c r="H123" s="1">
        <v>113</v>
      </c>
      <c r="I123" s="9">
        <f t="shared" si="9"/>
        <v>9.5830891667643794</v>
      </c>
      <c r="J123" s="13">
        <f t="shared" si="10"/>
        <v>-0.60172714747686151</v>
      </c>
      <c r="K123" s="9">
        <f t="shared" si="11"/>
        <v>9.564179129342266</v>
      </c>
    </row>
    <row r="124" spans="2:11" x14ac:dyDescent="0.55000000000000004">
      <c r="B124" s="1">
        <v>114</v>
      </c>
      <c r="C124" s="9">
        <f t="shared" si="6"/>
        <v>5.7</v>
      </c>
      <c r="D124" s="13">
        <f t="shared" si="7"/>
        <v>-1.0680734931386213</v>
      </c>
      <c r="E124" s="9">
        <f t="shared" si="8"/>
        <v>5.5990373291535276</v>
      </c>
      <c r="H124" s="1">
        <v>114</v>
      </c>
      <c r="I124" s="9">
        <f t="shared" si="9"/>
        <v>9.7766804095289075</v>
      </c>
      <c r="J124" s="13">
        <f t="shared" si="10"/>
        <v>-1.8319672274220118</v>
      </c>
      <c r="K124" s="9">
        <f t="shared" si="11"/>
        <v>9.6035085207291839</v>
      </c>
    </row>
    <row r="125" spans="2:11" x14ac:dyDescent="0.55000000000000004">
      <c r="B125" s="1">
        <v>115</v>
      </c>
      <c r="C125" s="9">
        <f t="shared" si="6"/>
        <v>5.75</v>
      </c>
      <c r="D125" s="13">
        <f t="shared" si="7"/>
        <v>-1.7768477176559543</v>
      </c>
      <c r="E125" s="9">
        <f t="shared" si="8"/>
        <v>5.4685749686971308</v>
      </c>
      <c r="H125" s="1">
        <v>115</v>
      </c>
      <c r="I125" s="9">
        <f t="shared" si="9"/>
        <v>9.9741824548147235</v>
      </c>
      <c r="J125" s="13">
        <f t="shared" si="10"/>
        <v>-3.0821918835341919</v>
      </c>
      <c r="K125" s="9">
        <f t="shared" si="11"/>
        <v>9.4860112183683309</v>
      </c>
    </row>
    <row r="126" spans="2:11" x14ac:dyDescent="0.55000000000000004">
      <c r="B126" s="1">
        <v>116</v>
      </c>
      <c r="C126" s="9">
        <f t="shared" si="6"/>
        <v>5.8000000000000007</v>
      </c>
      <c r="D126" s="13">
        <f t="shared" si="7"/>
        <v>-2.4695198910774243</v>
      </c>
      <c r="E126" s="9">
        <f t="shared" si="8"/>
        <v>5.2479969043029131</v>
      </c>
      <c r="H126" s="1">
        <v>116</v>
      </c>
      <c r="I126" s="9">
        <f t="shared" si="9"/>
        <v>10.175674306073333</v>
      </c>
      <c r="J126" s="13">
        <f t="shared" si="10"/>
        <v>-4.3325913972368202</v>
      </c>
      <c r="K126" s="9">
        <f t="shared" si="11"/>
        <v>9.2072253892185412</v>
      </c>
    </row>
    <row r="127" spans="2:11" x14ac:dyDescent="0.55000000000000004">
      <c r="B127" s="1">
        <v>117</v>
      </c>
      <c r="C127" s="9">
        <f t="shared" si="6"/>
        <v>5.8500000000000005</v>
      </c>
      <c r="D127" s="13">
        <f t="shared" si="7"/>
        <v>-3.1345867506271294</v>
      </c>
      <c r="E127" s="9">
        <f t="shared" si="8"/>
        <v>4.9393183641867893</v>
      </c>
      <c r="H127" s="1">
        <v>117</v>
      </c>
      <c r="I127" s="9">
        <f t="shared" si="9"/>
        <v>10.381236562731843</v>
      </c>
      <c r="J127" s="13">
        <f t="shared" si="10"/>
        <v>-5.5625447153273768</v>
      </c>
      <c r="K127" s="9">
        <f t="shared" si="11"/>
        <v>8.7651679311570483</v>
      </c>
    </row>
    <row r="128" spans="2:11" x14ac:dyDescent="0.55000000000000004">
      <c r="B128" s="1">
        <v>118</v>
      </c>
      <c r="C128" s="9">
        <f t="shared" si="6"/>
        <v>5.9</v>
      </c>
      <c r="D128" s="13">
        <f t="shared" si="7"/>
        <v>-3.7608015395172649</v>
      </c>
      <c r="E128" s="9">
        <f t="shared" si="8"/>
        <v>4.5460281323771605</v>
      </c>
      <c r="H128" s="1">
        <v>118</v>
      </c>
      <c r="I128" s="9">
        <f t="shared" si="9"/>
        <v>10.59095145243378</v>
      </c>
      <c r="J128" s="13">
        <f t="shared" si="10"/>
        <v>-6.7509265300450121</v>
      </c>
      <c r="K128" s="9">
        <f t="shared" si="11"/>
        <v>8.1604683476957121</v>
      </c>
    </row>
    <row r="129" spans="2:11" x14ac:dyDescent="0.55000000000000004">
      <c r="B129" s="1">
        <v>119</v>
      </c>
      <c r="C129" s="9">
        <f t="shared" si="6"/>
        <v>5.95</v>
      </c>
      <c r="D129" s="13">
        <f t="shared" si="7"/>
        <v>-4.3373633331573922</v>
      </c>
      <c r="E129" s="9">
        <f t="shared" si="8"/>
        <v>4.073055280275705</v>
      </c>
      <c r="H129" s="1">
        <v>119</v>
      </c>
      <c r="I129" s="9">
        <f t="shared" si="9"/>
        <v>10.804902863931257</v>
      </c>
      <c r="J129" s="13">
        <f t="shared" si="10"/>
        <v>-7.8764352101416355</v>
      </c>
      <c r="K129" s="9">
        <f t="shared" si="11"/>
        <v>7.396464985344755</v>
      </c>
    </row>
    <row r="130" spans="2:11" x14ac:dyDescent="0.55000000000000004">
      <c r="B130" s="1">
        <v>120</v>
      </c>
      <c r="C130" s="9">
        <f t="shared" si="6"/>
        <v>6</v>
      </c>
      <c r="D130" s="13">
        <f t="shared" si="7"/>
        <v>-4.8541019662496758</v>
      </c>
      <c r="E130" s="9">
        <f t="shared" si="8"/>
        <v>3.5267115137548499</v>
      </c>
      <c r="H130" s="1">
        <v>120</v>
      </c>
      <c r="I130" s="9">
        <f t="shared" si="9"/>
        <v>11.023176380641601</v>
      </c>
      <c r="J130" s="13">
        <f t="shared" si="10"/>
        <v>-8.9179370239315645</v>
      </c>
      <c r="K130" s="9">
        <f t="shared" si="11"/>
        <v>6.4792605099598752</v>
      </c>
    </row>
    <row r="131" spans="2:11" x14ac:dyDescent="0.55000000000000004">
      <c r="B131" s="1">
        <v>121</v>
      </c>
      <c r="C131" s="9">
        <f t="shared" si="6"/>
        <v>6.0500000000000007</v>
      </c>
      <c r="D131" s="13">
        <f t="shared" si="7"/>
        <v>-5.3016554142653769</v>
      </c>
      <c r="E131" s="9">
        <f t="shared" si="8"/>
        <v>2.9146097283153756</v>
      </c>
      <c r="H131" s="1">
        <v>121</v>
      </c>
      <c r="I131" s="9">
        <f t="shared" si="9"/>
        <v>11.245859314881844</v>
      </c>
      <c r="J131" s="13">
        <f t="shared" si="10"/>
        <v>-9.8548216404644702</v>
      </c>
      <c r="K131" s="9">
        <f t="shared" si="11"/>
        <v>5.4177340433753223</v>
      </c>
    </row>
    <row r="132" spans="2:11" x14ac:dyDescent="0.55000000000000004">
      <c r="B132" s="1">
        <v>122</v>
      </c>
      <c r="C132" s="9">
        <f t="shared" si="6"/>
        <v>6.1000000000000005</v>
      </c>
      <c r="D132" s="13">
        <f t="shared" si="7"/>
        <v>-5.6716365639183337</v>
      </c>
      <c r="E132" s="9">
        <f t="shared" si="8"/>
        <v>2.2455597713765374</v>
      </c>
      <c r="H132" s="1">
        <v>122</v>
      </c>
      <c r="I132" s="9">
        <f t="shared" si="9"/>
        <v>11.473040742794833</v>
      </c>
      <c r="J132" s="13">
        <f t="shared" si="10"/>
        <v>-10.667363504288513</v>
      </c>
      <c r="K132" s="9">
        <f t="shared" si="11"/>
        <v>4.2235079913744356</v>
      </c>
    </row>
    <row r="133" spans="2:11" x14ac:dyDescent="0.55000000000000004">
      <c r="B133" s="1">
        <v>123</v>
      </c>
      <c r="C133" s="9">
        <f t="shared" si="6"/>
        <v>6.15</v>
      </c>
      <c r="D133" s="13">
        <f t="shared" si="7"/>
        <v>-5.9567864409410802</v>
      </c>
      <c r="E133" s="9">
        <f t="shared" si="8"/>
        <v>1.5294428060638627</v>
      </c>
      <c r="H133" s="1">
        <v>123</v>
      </c>
      <c r="I133" s="9">
        <f t="shared" si="9"/>
        <v>11.704811539980854</v>
      </c>
      <c r="J133" s="13">
        <f t="shared" si="10"/>
        <v>-11.337083361809533</v>
      </c>
      <c r="K133" s="9">
        <f t="shared" si="11"/>
        <v>2.9108682611637398</v>
      </c>
    </row>
    <row r="134" spans="2:11" x14ac:dyDescent="0.55000000000000004">
      <c r="B134" s="1">
        <v>124</v>
      </c>
      <c r="C134" s="9">
        <f t="shared" si="6"/>
        <v>6.2</v>
      </c>
      <c r="D134" s="13">
        <f t="shared" si="7"/>
        <v>-6.151111148149762</v>
      </c>
      <c r="E134" s="9">
        <f t="shared" si="8"/>
        <v>0.77706604809869662</v>
      </c>
      <c r="H134" s="1">
        <v>124</v>
      </c>
      <c r="I134" s="9">
        <f t="shared" si="9"/>
        <v>11.941264417849103</v>
      </c>
      <c r="J134" s="13">
        <f t="shared" si="10"/>
        <v>-11.847103981231562</v>
      </c>
      <c r="K134" s="9">
        <f t="shared" si="11"/>
        <v>1.4966372823354168</v>
      </c>
    </row>
    <row r="135" spans="2:11" x14ac:dyDescent="0.55000000000000004">
      <c r="B135" s="1">
        <v>125</v>
      </c>
      <c r="C135" s="9">
        <f t="shared" si="6"/>
        <v>6.25</v>
      </c>
      <c r="D135" s="13">
        <f t="shared" si="7"/>
        <v>-6.25</v>
      </c>
      <c r="E135" s="9">
        <f t="shared" si="8"/>
        <v>1.4930819167841003E-14</v>
      </c>
      <c r="H135" s="1">
        <v>125</v>
      </c>
      <c r="I135" s="9">
        <f t="shared" si="9"/>
        <v>12.182493960703473</v>
      </c>
      <c r="J135" s="13">
        <f t="shared" si="10"/>
        <v>-12.182493960703473</v>
      </c>
      <c r="K135" s="9">
        <f t="shared" si="11"/>
        <v>2.9103138294492587E-14</v>
      </c>
    </row>
    <row r="136" spans="2:11" x14ac:dyDescent="0.55000000000000004">
      <c r="B136" s="1">
        <v>126</v>
      </c>
      <c r="C136" s="9">
        <f t="shared" si="6"/>
        <v>6.3000000000000007</v>
      </c>
      <c r="D136" s="13">
        <f t="shared" si="7"/>
        <v>-6.2503226182812108</v>
      </c>
      <c r="E136" s="9">
        <f t="shared" si="8"/>
        <v>-0.78959937145511971</v>
      </c>
      <c r="H136" s="1">
        <v>126</v>
      </c>
      <c r="I136" s="9">
        <f t="shared" si="9"/>
        <v>12.428596663577544</v>
      </c>
      <c r="J136" s="13">
        <f t="shared" si="10"/>
        <v>-12.33059346664335</v>
      </c>
      <c r="K136" s="9">
        <f t="shared" si="11"/>
        <v>-1.5577162085127025</v>
      </c>
    </row>
    <row r="137" spans="2:11" x14ac:dyDescent="0.55000000000000004">
      <c r="B137" s="1">
        <v>127</v>
      </c>
      <c r="C137" s="9">
        <f t="shared" si="6"/>
        <v>6.3500000000000005</v>
      </c>
      <c r="D137" s="13">
        <f t="shared" si="7"/>
        <v>-6.1505030731668082</v>
      </c>
      <c r="E137" s="9">
        <f t="shared" si="8"/>
        <v>-1.5791807834968263</v>
      </c>
      <c r="H137" s="1">
        <v>127</v>
      </c>
      <c r="I137" s="9">
        <f t="shared" si="9"/>
        <v>12.679670970833877</v>
      </c>
      <c r="J137" s="13">
        <f t="shared" si="10"/>
        <v>-12.281315791001216</v>
      </c>
      <c r="K137" s="9">
        <f t="shared" si="11"/>
        <v>-3.1533059430241583</v>
      </c>
    </row>
    <row r="138" spans="2:11" x14ac:dyDescent="0.55000000000000004">
      <c r="B138" s="1">
        <v>128</v>
      </c>
      <c r="C138" s="9">
        <f t="shared" si="6"/>
        <v>6.4</v>
      </c>
      <c r="D138" s="13">
        <f t="shared" si="7"/>
        <v>-5.9505695096848079</v>
      </c>
      <c r="E138" s="9">
        <f t="shared" si="8"/>
        <v>-2.3559971371819439</v>
      </c>
      <c r="H138" s="1">
        <v>128</v>
      </c>
      <c r="I138" s="9">
        <f t="shared" si="9"/>
        <v>12.935817315543076</v>
      </c>
      <c r="J138" s="13">
        <f t="shared" si="10"/>
        <v>-12.027418765738032</v>
      </c>
      <c r="K138" s="9">
        <f t="shared" si="11"/>
        <v>-4.7619919628950163</v>
      </c>
    </row>
    <row r="139" spans="2:11" x14ac:dyDescent="0.55000000000000004">
      <c r="B139" s="1">
        <v>129</v>
      </c>
      <c r="C139" s="9">
        <f t="shared" ref="C139:C202" si="12">0.05*B139</f>
        <v>6.45</v>
      </c>
      <c r="D139" s="13">
        <f t="shared" ref="D139:D202" si="13">C139*COS(2*PI()*B139/50)</f>
        <v>-5.6521780862829205</v>
      </c>
      <c r="E139" s="9">
        <f t="shared" ref="E139:E202" si="14">C139*SIN(2*PI()*B139/50)</f>
        <v>-3.1073111979560641</v>
      </c>
      <c r="H139" s="1">
        <v>129</v>
      </c>
      <c r="I139" s="9">
        <f t="shared" ref="I139:I202" si="15">EXP(0.02*H139)</f>
        <v>13.197138159658358</v>
      </c>
      <c r="J139" s="13">
        <f t="shared" ref="J139:J202" si="16">I139*COS(2*PI()*H139/50)</f>
        <v>-11.5647403267704</v>
      </c>
      <c r="K139" s="9">
        <f t="shared" ref="K139:K202" si="17">I139*SIN(2*PI()*H139/50)</f>
        <v>-6.3577697960433639</v>
      </c>
    </row>
    <row r="140" spans="2:11" x14ac:dyDescent="0.55000000000000004">
      <c r="B140" s="1">
        <v>130</v>
      </c>
      <c r="C140" s="9">
        <f t="shared" si="12"/>
        <v>6.5</v>
      </c>
      <c r="D140" s="13">
        <f t="shared" si="13"/>
        <v>-5.2586104634371607</v>
      </c>
      <c r="E140" s="9">
        <f t="shared" si="14"/>
        <v>-3.8206041399010719</v>
      </c>
      <c r="H140" s="1">
        <v>130</v>
      </c>
      <c r="I140" s="9">
        <f t="shared" si="15"/>
        <v>13.463738035001692</v>
      </c>
      <c r="J140" s="13">
        <f t="shared" si="16"/>
        <v>-10.892392878128733</v>
      </c>
      <c r="K140" s="9">
        <f t="shared" si="17"/>
        <v>-7.9137866577032279</v>
      </c>
    </row>
    <row r="141" spans="2:11" x14ac:dyDescent="0.55000000000000004">
      <c r="B141" s="1">
        <v>131</v>
      </c>
      <c r="C141" s="9">
        <f t="shared" si="12"/>
        <v>6.5500000000000007</v>
      </c>
      <c r="D141" s="13">
        <f t="shared" si="13"/>
        <v>-4.7747445096102519</v>
      </c>
      <c r="E141" s="9">
        <f t="shared" si="14"/>
        <v>-4.4837835438329048</v>
      </c>
      <c r="H141" s="1">
        <v>131</v>
      </c>
      <c r="I141" s="9">
        <f t="shared" si="15"/>
        <v>13.735723585077926</v>
      </c>
      <c r="J141" s="13">
        <f t="shared" si="16"/>
        <v>-10.012911568454179</v>
      </c>
      <c r="K141" s="9">
        <f t="shared" si="17"/>
        <v>-9.4027498280015127</v>
      </c>
    </row>
    <row r="142" spans="2:11" x14ac:dyDescent="0.55000000000000004">
      <c r="B142" s="1">
        <v>132</v>
      </c>
      <c r="C142" s="9">
        <f t="shared" si="12"/>
        <v>6.6000000000000005</v>
      </c>
      <c r="D142" s="13">
        <f t="shared" si="13"/>
        <v>-4.2069983323413442</v>
      </c>
      <c r="E142" s="9">
        <f t="shared" si="14"/>
        <v>-5.0853874023202152</v>
      </c>
      <c r="H142" s="1">
        <v>132</v>
      </c>
      <c r="I142" s="9">
        <f t="shared" si="15"/>
        <v>14.013203607733615</v>
      </c>
      <c r="J142" s="13">
        <f t="shared" si="16"/>
        <v>-8.9323521528022773</v>
      </c>
      <c r="K142" s="9">
        <f t="shared" si="17"/>
        <v>-10.79735895347223</v>
      </c>
    </row>
    <row r="143" spans="2:11" x14ac:dyDescent="0.55000000000000004">
      <c r="B143" s="1">
        <v>133</v>
      </c>
      <c r="C143" s="9">
        <f t="shared" si="12"/>
        <v>6.65</v>
      </c>
      <c r="D143" s="13">
        <f t="shared" si="13"/>
        <v>-3.5632481866103234</v>
      </c>
      <c r="E143" s="9">
        <f t="shared" si="14"/>
        <v>-5.6147807045884033</v>
      </c>
      <c r="H143" s="1">
        <v>133</v>
      </c>
      <c r="I143" s="9">
        <f t="shared" si="15"/>
        <v>14.296289098677603</v>
      </c>
      <c r="J143" s="13">
        <f t="shared" si="16"/>
        <v>-7.6603347678375791</v>
      </c>
      <c r="K143" s="9">
        <f t="shared" si="17"/>
        <v>-12.07075611706354</v>
      </c>
    </row>
    <row r="144" spans="2:11" x14ac:dyDescent="0.55000000000000004">
      <c r="B144" s="1">
        <v>134</v>
      </c>
      <c r="C144" s="9">
        <f t="shared" si="12"/>
        <v>6.7</v>
      </c>
      <c r="D144" s="13">
        <f t="shared" si="13"/>
        <v>-2.8527212534859867</v>
      </c>
      <c r="E144" s="9">
        <f t="shared" si="14"/>
        <v>-6.0623412515223309</v>
      </c>
      <c r="H144" s="1">
        <v>134</v>
      </c>
      <c r="I144" s="9">
        <f t="shared" si="15"/>
        <v>14.585093295880792</v>
      </c>
      <c r="J144" s="13">
        <f t="shared" si="16"/>
        <v>-6.2100306909306138</v>
      </c>
      <c r="K144" s="9">
        <f t="shared" si="17"/>
        <v>-13.19698697685372</v>
      </c>
    </row>
    <row r="145" spans="2:11" x14ac:dyDescent="0.55000000000000004">
      <c r="B145" s="1">
        <v>135</v>
      </c>
      <c r="C145" s="9">
        <f t="shared" si="12"/>
        <v>6.75</v>
      </c>
      <c r="D145" s="13">
        <f t="shared" si="13"/>
        <v>-2.0858647120308995</v>
      </c>
      <c r="E145" s="9">
        <f t="shared" si="14"/>
        <v>-6.4196314849922853</v>
      </c>
      <c r="H145" s="1">
        <v>135</v>
      </c>
      <c r="I145" s="9">
        <f t="shared" si="15"/>
        <v>14.879731724872837</v>
      </c>
      <c r="J145" s="13">
        <f t="shared" si="16"/>
        <v>-4.5980899747257657</v>
      </c>
      <c r="K145" s="9">
        <f t="shared" si="17"/>
        <v>-14.151465817664034</v>
      </c>
    </row>
    <row r="146" spans="2:11" x14ac:dyDescent="0.55000000000000004">
      <c r="B146" s="1">
        <v>136</v>
      </c>
      <c r="C146" s="9">
        <f t="shared" si="12"/>
        <v>6.8000000000000007</v>
      </c>
      <c r="D146" s="13">
        <f t="shared" si="13"/>
        <v>-1.274192939182913</v>
      </c>
      <c r="E146" s="9">
        <f t="shared" si="14"/>
        <v>-6.6795533049550864</v>
      </c>
      <c r="H146" s="1">
        <v>136</v>
      </c>
      <c r="I146" s="9">
        <f t="shared" si="15"/>
        <v>15.180322244953899</v>
      </c>
      <c r="J146" s="13">
        <f t="shared" si="16"/>
        <v>-2.8445087380943477</v>
      </c>
      <c r="K146" s="9">
        <f t="shared" si="17"/>
        <v>-14.911437003171327</v>
      </c>
    </row>
    <row r="147" spans="2:11" x14ac:dyDescent="0.55000000000000004">
      <c r="B147" s="1">
        <v>137</v>
      </c>
      <c r="C147" s="9">
        <f t="shared" si="12"/>
        <v>6.8500000000000005</v>
      </c>
      <c r="D147" s="13">
        <f t="shared" si="13"/>
        <v>-0.43011505877578665</v>
      </c>
      <c r="E147" s="9">
        <f t="shared" si="14"/>
        <v>-6.8364830897336617</v>
      </c>
      <c r="H147" s="1">
        <v>137</v>
      </c>
      <c r="I147" s="9">
        <f t="shared" si="15"/>
        <v>15.486985096339938</v>
      </c>
      <c r="J147" s="13">
        <f t="shared" si="16"/>
        <v>-0.97243584014189544</v>
      </c>
      <c r="K147" s="9">
        <f t="shared" si="17"/>
        <v>-15.45642506891755</v>
      </c>
    </row>
    <row r="148" spans="2:11" x14ac:dyDescent="0.55000000000000004">
      <c r="B148" s="1">
        <v>138</v>
      </c>
      <c r="C148" s="9">
        <f t="shared" si="12"/>
        <v>6.9</v>
      </c>
      <c r="D148" s="13">
        <f t="shared" si="13"/>
        <v>0.43325458475226747</v>
      </c>
      <c r="E148" s="9">
        <f t="shared" si="14"/>
        <v>-6.8863844261550744</v>
      </c>
      <c r="H148" s="1">
        <v>138</v>
      </c>
      <c r="I148" s="9">
        <f t="shared" si="15"/>
        <v>15.799842948260402</v>
      </c>
      <c r="J148" s="13">
        <f t="shared" si="16"/>
        <v>0.99208034720284077</v>
      </c>
      <c r="K148" s="9">
        <f t="shared" si="17"/>
        <v>-15.768665567332825</v>
      </c>
    </row>
    <row r="149" spans="2:11" x14ac:dyDescent="0.55000000000000004">
      <c r="B149" s="1">
        <v>139</v>
      </c>
      <c r="C149" s="9">
        <f t="shared" si="12"/>
        <v>6.95</v>
      </c>
      <c r="D149" s="13">
        <f t="shared" si="13"/>
        <v>1.3023001363707865</v>
      </c>
      <c r="E149" s="9">
        <f t="shared" si="14"/>
        <v>-6.8268963925643869</v>
      </c>
      <c r="H149" s="1">
        <v>139</v>
      </c>
      <c r="I149" s="9">
        <f t="shared" si="15"/>
        <v>16.119020948027551</v>
      </c>
      <c r="J149" s="13">
        <f t="shared" si="16"/>
        <v>3.020403335076236</v>
      </c>
      <c r="K149" s="9">
        <f t="shared" si="17"/>
        <v>-15.833508771476124</v>
      </c>
    </row>
    <row r="150" spans="2:11" x14ac:dyDescent="0.55000000000000004">
      <c r="B150" s="1">
        <v>140</v>
      </c>
      <c r="C150" s="9">
        <f t="shared" si="12"/>
        <v>7</v>
      </c>
      <c r="D150" s="13">
        <f t="shared" si="13"/>
        <v>2.1631189606246277</v>
      </c>
      <c r="E150" s="9">
        <f t="shared" si="14"/>
        <v>-6.6573956140660764</v>
      </c>
      <c r="H150" s="1">
        <v>140</v>
      </c>
      <c r="I150" s="9">
        <f t="shared" si="15"/>
        <v>16.444646771097055</v>
      </c>
      <c r="J150" s="13">
        <f t="shared" si="16"/>
        <v>5.0816753187620858</v>
      </c>
      <c r="K150" s="9">
        <f t="shared" si="17"/>
        <v>-15.639788469823914</v>
      </c>
    </row>
    <row r="151" spans="2:11" x14ac:dyDescent="0.55000000000000004">
      <c r="B151" s="1">
        <v>141</v>
      </c>
      <c r="C151" s="9">
        <f t="shared" si="12"/>
        <v>7.0500000000000007</v>
      </c>
      <c r="D151" s="13">
        <f t="shared" si="13"/>
        <v>3.0017440055337534</v>
      </c>
      <c r="E151" s="9">
        <f t="shared" si="14"/>
        <v>-6.379030719885443</v>
      </c>
      <c r="H151" s="1">
        <v>141</v>
      </c>
      <c r="I151" s="9">
        <f t="shared" si="15"/>
        <v>16.776850672139872</v>
      </c>
      <c r="J151" s="13">
        <f t="shared" si="16"/>
        <v>7.1432355938767067</v>
      </c>
      <c r="K151" s="9">
        <f t="shared" si="17"/>
        <v>-15.180148343334888</v>
      </c>
    </row>
    <row r="152" spans="2:11" x14ac:dyDescent="0.55000000000000004">
      <c r="B152" s="1">
        <v>142</v>
      </c>
      <c r="C152" s="9">
        <f t="shared" si="12"/>
        <v>7.1000000000000005</v>
      </c>
      <c r="D152" s="13">
        <f t="shared" si="13"/>
        <v>3.8043702443508853</v>
      </c>
      <c r="E152" s="9">
        <f t="shared" si="14"/>
        <v>-5.9947282710643019</v>
      </c>
      <c r="H152" s="1">
        <v>142</v>
      </c>
      <c r="I152" s="9">
        <f t="shared" si="15"/>
        <v>17.115765537145876</v>
      </c>
      <c r="J152" s="13">
        <f t="shared" si="16"/>
        <v>9.171085791380861</v>
      </c>
      <c r="K152" s="9">
        <f t="shared" si="17"/>
        <v>-14.451318809357247</v>
      </c>
    </row>
    <row r="153" spans="2:11" x14ac:dyDescent="0.55000000000000004">
      <c r="B153" s="1">
        <v>143</v>
      </c>
      <c r="C153" s="9">
        <f t="shared" si="12"/>
        <v>7.15</v>
      </c>
      <c r="D153" s="13">
        <f t="shared" si="13"/>
        <v>4.5575815267031361</v>
      </c>
      <c r="E153" s="9">
        <f t="shared" si="14"/>
        <v>-5.5091696858468904</v>
      </c>
      <c r="H153" s="1">
        <v>143</v>
      </c>
      <c r="I153" s="9">
        <f t="shared" si="15"/>
        <v>17.46152693657999</v>
      </c>
      <c r="J153" s="13">
        <f t="shared" si="16"/>
        <v>11.130396167019043</v>
      </c>
      <c r="K153" s="9">
        <f t="shared" si="17"/>
        <v>-13.454337743721034</v>
      </c>
    </row>
    <row r="154" spans="2:11" x14ac:dyDescent="0.55000000000000004">
      <c r="B154" s="1">
        <v>144</v>
      </c>
      <c r="C154" s="9">
        <f t="shared" si="12"/>
        <v>7.2</v>
      </c>
      <c r="D154" s="13">
        <f t="shared" si="13"/>
        <v>5.2485741174341634</v>
      </c>
      <c r="E154" s="9">
        <f t="shared" si="14"/>
        <v>-4.9287391626865578</v>
      </c>
      <c r="H154" s="1">
        <v>144</v>
      </c>
      <c r="I154" s="9">
        <f t="shared" si="15"/>
        <v>17.814273179612197</v>
      </c>
      <c r="J154" s="13">
        <f t="shared" si="16"/>
        <v>12.986046268251968</v>
      </c>
      <c r="K154" s="9">
        <f t="shared" si="17"/>
        <v>-12.194709149326588</v>
      </c>
    </row>
    <row r="155" spans="2:11" x14ac:dyDescent="0.55000000000000004">
      <c r="B155" s="1">
        <v>145</v>
      </c>
      <c r="C155" s="9">
        <f t="shared" si="12"/>
        <v>7.25</v>
      </c>
      <c r="D155" s="13">
        <f t="shared" si="13"/>
        <v>5.8653732092183661</v>
      </c>
      <c r="E155" s="9">
        <f t="shared" si="14"/>
        <v>-4.2614430791204345</v>
      </c>
      <c r="H155" s="1">
        <v>145</v>
      </c>
      <c r="I155" s="9">
        <f t="shared" si="15"/>
        <v>18.17414536944306</v>
      </c>
      <c r="J155" s="13">
        <f t="shared" si="16"/>
        <v>14.703192462120185</v>
      </c>
      <c r="K155" s="9">
        <f t="shared" si="17"/>
        <v>-10.682494621178181</v>
      </c>
    </row>
    <row r="156" spans="2:11" x14ac:dyDescent="0.55000000000000004">
      <c r="B156" s="1">
        <v>146</v>
      </c>
      <c r="C156" s="9">
        <f t="shared" si="12"/>
        <v>7.3000000000000007</v>
      </c>
      <c r="D156" s="13">
        <f t="shared" si="13"/>
        <v>6.3970387643202002</v>
      </c>
      <c r="E156" s="9">
        <f t="shared" si="14"/>
        <v>-3.5168018209425309</v>
      </c>
      <c r="H156" s="1">
        <v>146</v>
      </c>
      <c r="I156" s="9">
        <f t="shared" si="15"/>
        <v>18.541287459746869</v>
      </c>
      <c r="J156" s="13">
        <f t="shared" si="16"/>
        <v>16.247854057589688</v>
      </c>
      <c r="K156" s="9">
        <f t="shared" si="17"/>
        <v>-8.9323333563091367</v>
      </c>
    </row>
    <row r="157" spans="2:11" x14ac:dyDescent="0.55000000000000004">
      <c r="B157" s="1">
        <v>147</v>
      </c>
      <c r="C157" s="9">
        <f t="shared" si="12"/>
        <v>7.3500000000000005</v>
      </c>
      <c r="D157" s="13">
        <f t="shared" si="13"/>
        <v>6.8338571712786518</v>
      </c>
      <c r="E157" s="9">
        <f t="shared" si="14"/>
        <v>-2.7057154622323734</v>
      </c>
      <c r="H157" s="1">
        <v>147</v>
      </c>
      <c r="I157" s="9">
        <f t="shared" si="15"/>
        <v>18.915846312255038</v>
      </c>
      <c r="J157" s="13">
        <f t="shared" si="16"/>
        <v>17.587509111810739</v>
      </c>
      <c r="K157" s="9">
        <f t="shared" si="17"/>
        <v>-6.9633874623509762</v>
      </c>
    </row>
    <row r="158" spans="2:11" x14ac:dyDescent="0.55000000000000004">
      <c r="B158" s="1">
        <v>148</v>
      </c>
      <c r="C158" s="9">
        <f t="shared" si="12"/>
        <v>7.4</v>
      </c>
      <c r="D158" s="13">
        <f t="shared" si="13"/>
        <v>7.1675153923518717</v>
      </c>
      <c r="E158" s="9">
        <f t="shared" si="14"/>
        <v>-1.8403051650199205</v>
      </c>
      <c r="H158" s="1">
        <v>148</v>
      </c>
      <c r="I158" s="9">
        <f t="shared" si="15"/>
        <v>19.297971755502758</v>
      </c>
      <c r="J158" s="13">
        <f t="shared" si="16"/>
        <v>18.691690486315903</v>
      </c>
      <c r="K158" s="9">
        <f t="shared" si="17"/>
        <v>-4.7992104183865223</v>
      </c>
    </row>
    <row r="159" spans="2:11" x14ac:dyDescent="0.55000000000000004">
      <c r="B159" s="1">
        <v>149</v>
      </c>
      <c r="C159" s="9">
        <f t="shared" si="12"/>
        <v>7.45</v>
      </c>
      <c r="D159" s="13">
        <f t="shared" si="13"/>
        <v>7.3912545247928607</v>
      </c>
      <c r="E159" s="9">
        <f t="shared" si="14"/>
        <v>-0.93373259005406672</v>
      </c>
      <c r="H159" s="1">
        <v>149</v>
      </c>
      <c r="I159" s="9">
        <f t="shared" si="15"/>
        <v>19.6878166447624</v>
      </c>
      <c r="J159" s="13">
        <f t="shared" si="16"/>
        <v>19.532572330052655</v>
      </c>
      <c r="K159" s="9">
        <f t="shared" si="17"/>
        <v>-2.4675377219092027</v>
      </c>
    </row>
    <row r="160" spans="2:11" x14ac:dyDescent="0.55000000000000004">
      <c r="B160" s="1">
        <v>150</v>
      </c>
      <c r="C160" s="9">
        <f t="shared" si="12"/>
        <v>7.5</v>
      </c>
      <c r="D160" s="13">
        <f t="shared" si="13"/>
        <v>7.5</v>
      </c>
      <c r="E160" s="9">
        <f t="shared" si="14"/>
        <v>-5.51316804708879E-15</v>
      </c>
      <c r="H160" s="1">
        <v>150</v>
      </c>
      <c r="I160" s="9">
        <f t="shared" si="15"/>
        <v>20.085536923187668</v>
      </c>
      <c r="J160" s="13">
        <f t="shared" si="16"/>
        <v>20.085536923187668</v>
      </c>
      <c r="K160" s="9">
        <f t="shared" si="17"/>
        <v>-1.4764658716472046E-14</v>
      </c>
    </row>
    <row r="161" spans="2:11" x14ac:dyDescent="0.55000000000000004">
      <c r="B161" s="1">
        <v>151</v>
      </c>
      <c r="C161" s="9">
        <f t="shared" si="12"/>
        <v>7.5500000000000007</v>
      </c>
      <c r="D161" s="13">
        <f t="shared" si="13"/>
        <v>7.4904659949243095</v>
      </c>
      <c r="E161" s="9">
        <f t="shared" si="14"/>
        <v>0.94626591341048638</v>
      </c>
      <c r="H161" s="1">
        <v>151</v>
      </c>
      <c r="I161" s="9">
        <f t="shared" si="15"/>
        <v>20.491291684192941</v>
      </c>
      <c r="J161" s="13">
        <f t="shared" si="16"/>
        <v>20.329711728810928</v>
      </c>
      <c r="K161" s="9">
        <f t="shared" si="17"/>
        <v>2.56823984668921</v>
      </c>
    </row>
    <row r="162" spans="2:11" x14ac:dyDescent="0.55000000000000004">
      <c r="B162" s="1">
        <v>152</v>
      </c>
      <c r="C162" s="9">
        <f t="shared" si="12"/>
        <v>7.6000000000000005</v>
      </c>
      <c r="D162" s="13">
        <f t="shared" si="13"/>
        <v>7.3612320245776006</v>
      </c>
      <c r="E162" s="9">
        <f t="shared" si="14"/>
        <v>1.8900431424528805</v>
      </c>
      <c r="H162" s="1">
        <v>152</v>
      </c>
      <c r="I162" s="9">
        <f t="shared" si="15"/>
        <v>20.905243235092758</v>
      </c>
      <c r="J162" s="13">
        <f t="shared" si="16"/>
        <v>20.248466576809086</v>
      </c>
      <c r="K162" s="9">
        <f t="shared" si="17"/>
        <v>5.1989225812890183</v>
      </c>
    </row>
    <row r="163" spans="2:11" x14ac:dyDescent="0.55000000000000004">
      <c r="B163" s="1">
        <v>153</v>
      </c>
      <c r="C163" s="9">
        <f t="shared" si="12"/>
        <v>7.65</v>
      </c>
      <c r="D163" s="13">
        <f t="shared" si="13"/>
        <v>7.1127901170451215</v>
      </c>
      <c r="E163" s="9">
        <f t="shared" si="14"/>
        <v>2.8161528280377914</v>
      </c>
      <c r="H163" s="1">
        <v>153</v>
      </c>
      <c r="I163" s="9">
        <f t="shared" si="15"/>
        <v>21.327557162026903</v>
      </c>
      <c r="J163" s="13">
        <f t="shared" si="16"/>
        <v>19.829861150690174</v>
      </c>
      <c r="K163" s="9">
        <f t="shared" si="17"/>
        <v>7.8511974401280664</v>
      </c>
    </row>
    <row r="164" spans="2:11" x14ac:dyDescent="0.55000000000000004">
      <c r="B164" s="1">
        <v>154</v>
      </c>
      <c r="C164" s="9">
        <f t="shared" si="12"/>
        <v>7.7</v>
      </c>
      <c r="D164" s="13">
        <f t="shared" si="13"/>
        <v>6.7475614363377501</v>
      </c>
      <c r="E164" s="9">
        <f t="shared" si="14"/>
        <v>3.709503290583207</v>
      </c>
      <c r="H164" s="1">
        <v>154</v>
      </c>
      <c r="I164" s="9">
        <f t="shared" si="15"/>
        <v>21.758402396197081</v>
      </c>
      <c r="J164" s="13">
        <f t="shared" si="16"/>
        <v>19.067033366869911</v>
      </c>
      <c r="K164" s="9">
        <f t="shared" si="17"/>
        <v>10.482190296951508</v>
      </c>
    </row>
    <row r="165" spans="2:11" x14ac:dyDescent="0.55000000000000004">
      <c r="B165" s="1">
        <v>155</v>
      </c>
      <c r="C165" s="9">
        <f t="shared" si="12"/>
        <v>7.75</v>
      </c>
      <c r="D165" s="13">
        <f t="shared" si="13"/>
        <v>6.2698817064058465</v>
      </c>
      <c r="E165" s="9">
        <f t="shared" si="14"/>
        <v>4.5553357052666614</v>
      </c>
      <c r="H165" s="1">
        <v>155</v>
      </c>
      <c r="I165" s="9">
        <f t="shared" si="15"/>
        <v>22.197951281441636</v>
      </c>
      <c r="J165" s="13">
        <f t="shared" si="16"/>
        <v>17.958519826993435</v>
      </c>
      <c r="K165" s="9">
        <f t="shared" si="17"/>
        <v>13.047628394338185</v>
      </c>
    </row>
    <row r="166" spans="2:11" x14ac:dyDescent="0.55000000000000004">
      <c r="B166" s="1">
        <v>156</v>
      </c>
      <c r="C166" s="9">
        <f t="shared" si="12"/>
        <v>7.8000000000000007</v>
      </c>
      <c r="D166" s="13">
        <f t="shared" si="13"/>
        <v>5.6859552938870186</v>
      </c>
      <c r="E166" s="9">
        <f t="shared" si="14"/>
        <v>5.3394674262437638</v>
      </c>
      <c r="H166" s="1">
        <v>156</v>
      </c>
      <c r="I166" s="9">
        <f t="shared" si="15"/>
        <v>22.646379643175397</v>
      </c>
      <c r="J166" s="13">
        <f t="shared" si="16"/>
        <v>16.508500284549786</v>
      </c>
      <c r="K166" s="9">
        <f t="shared" si="17"/>
        <v>15.502513644498062</v>
      </c>
    </row>
    <row r="167" spans="2:11" x14ac:dyDescent="0.55000000000000004">
      <c r="B167" s="1">
        <v>157</v>
      </c>
      <c r="C167" s="9">
        <f t="shared" si="12"/>
        <v>7.8500000000000005</v>
      </c>
      <c r="D167" s="13">
        <f t="shared" si="13"/>
        <v>5.0037783195272283</v>
      </c>
      <c r="E167" s="9">
        <f t="shared" si="14"/>
        <v>6.0485289557899344</v>
      </c>
      <c r="H167" s="1">
        <v>157</v>
      </c>
      <c r="I167" s="9">
        <f t="shared" si="15"/>
        <v>23.103866858722185</v>
      </c>
      <c r="J167" s="13">
        <f t="shared" si="16"/>
        <v>14.726958991709262</v>
      </c>
      <c r="K167" s="9">
        <f t="shared" si="17"/>
        <v>17.801835373974086</v>
      </c>
    </row>
    <row r="168" spans="2:11" x14ac:dyDescent="0.55000000000000004">
      <c r="B168" s="1">
        <v>158</v>
      </c>
      <c r="C168" s="9">
        <f t="shared" si="12"/>
        <v>7.9</v>
      </c>
      <c r="D168" s="13">
        <f t="shared" si="13"/>
        <v>4.2330316803340695</v>
      </c>
      <c r="E168" s="9">
        <f t="shared" si="14"/>
        <v>6.6701906114659222</v>
      </c>
      <c r="H168" s="1">
        <v>158</v>
      </c>
      <c r="I168" s="9">
        <f t="shared" si="15"/>
        <v>23.570595929068126</v>
      </c>
      <c r="J168" s="13">
        <f t="shared" si="16"/>
        <v>12.629756872417547</v>
      </c>
      <c r="K168" s="9">
        <f t="shared" si="17"/>
        <v>19.90131236363634</v>
      </c>
    </row>
    <row r="169" spans="2:11" x14ac:dyDescent="0.55000000000000004">
      <c r="B169" s="1">
        <v>159</v>
      </c>
      <c r="C169" s="9">
        <f t="shared" si="12"/>
        <v>7.95</v>
      </c>
      <c r="D169" s="13">
        <f t="shared" si="13"/>
        <v>3.3849453679423283</v>
      </c>
      <c r="E169" s="9">
        <f t="shared" si="14"/>
        <v>7.1933750671048546</v>
      </c>
      <c r="H169" s="1">
        <v>159</v>
      </c>
      <c r="I169" s="9">
        <f t="shared" si="15"/>
        <v>24.046753552064498</v>
      </c>
      <c r="J169" s="13">
        <f t="shared" si="16"/>
        <v>10.238609691837917</v>
      </c>
      <c r="K169" s="9">
        <f t="shared" si="17"/>
        <v>21.758153137891302</v>
      </c>
    </row>
    <row r="170" spans="2:11" x14ac:dyDescent="0.55000000000000004">
      <c r="B170" s="1">
        <v>160</v>
      </c>
      <c r="C170" s="9">
        <f t="shared" si="12"/>
        <v>8</v>
      </c>
      <c r="D170" s="13">
        <f t="shared" si="13"/>
        <v>2.4721359549995854</v>
      </c>
      <c r="E170" s="9">
        <f t="shared" si="14"/>
        <v>7.6084521303612265</v>
      </c>
      <c r="H170" s="1">
        <v>160</v>
      </c>
      <c r="I170" s="9">
        <f t="shared" si="15"/>
        <v>24.532530197109352</v>
      </c>
      <c r="J170" s="13">
        <f t="shared" si="16"/>
        <v>7.5809687459233865</v>
      </c>
      <c r="K170" s="9">
        <f t="shared" si="17"/>
        <v>23.33182270516847</v>
      </c>
    </row>
    <row r="171" spans="2:11" x14ac:dyDescent="0.55000000000000004">
      <c r="B171" s="1">
        <v>161</v>
      </c>
      <c r="C171" s="9">
        <f t="shared" si="12"/>
        <v>8.0500000000000007</v>
      </c>
      <c r="D171" s="13">
        <f t="shared" si="13"/>
        <v>1.5084195824150952</v>
      </c>
      <c r="E171" s="9">
        <f t="shared" si="14"/>
        <v>7.9074123683659421</v>
      </c>
      <c r="H171" s="1">
        <v>161</v>
      </c>
      <c r="I171" s="9">
        <f t="shared" si="15"/>
        <v>25.028120181337815</v>
      </c>
      <c r="J171" s="13">
        <f t="shared" si="16"/>
        <v>4.6898020611886215</v>
      </c>
      <c r="K171" s="9">
        <f t="shared" si="17"/>
        <v>24.584803363833526</v>
      </c>
    </row>
    <row r="172" spans="2:11" x14ac:dyDescent="0.55000000000000004">
      <c r="B172" s="1">
        <v>162</v>
      </c>
      <c r="C172" s="9">
        <f t="shared" si="12"/>
        <v>8.1</v>
      </c>
      <c r="D172" s="13">
        <f t="shared" si="13"/>
        <v>0.50860320818745619</v>
      </c>
      <c r="E172" s="9">
        <f t="shared" si="14"/>
        <v>8.0840165002689979</v>
      </c>
      <c r="H172" s="1">
        <v>162</v>
      </c>
      <c r="I172" s="9">
        <f t="shared" si="15"/>
        <v>25.533721747351528</v>
      </c>
      <c r="J172" s="13">
        <f t="shared" si="16"/>
        <v>1.6032756540331861</v>
      </c>
      <c r="K172" s="9">
        <f t="shared" si="17"/>
        <v>25.483336780107052</v>
      </c>
    </row>
    <row r="173" spans="2:11" x14ac:dyDescent="0.55000000000000004">
      <c r="B173" s="1">
        <v>163</v>
      </c>
      <c r="C173" s="9">
        <f t="shared" si="12"/>
        <v>8.15</v>
      </c>
      <c r="D173" s="13">
        <f t="shared" si="13"/>
        <v>-0.51174273416388016</v>
      </c>
      <c r="E173" s="9">
        <f t="shared" si="14"/>
        <v>8.133917836690415</v>
      </c>
      <c r="H173" s="1">
        <v>163</v>
      </c>
      <c r="I173" s="9">
        <f t="shared" si="15"/>
        <v>26.049537142518346</v>
      </c>
      <c r="J173" s="13">
        <f t="shared" si="16"/>
        <v>-1.6356639706767961</v>
      </c>
      <c r="K173" s="9">
        <f t="shared" si="17"/>
        <v>25.998134331418335</v>
      </c>
    </row>
    <row r="174" spans="2:11" x14ac:dyDescent="0.55000000000000004">
      <c r="B174" s="1">
        <v>164</v>
      </c>
      <c r="C174" s="9">
        <f t="shared" si="12"/>
        <v>8.2000000000000011</v>
      </c>
      <c r="D174" s="13">
        <f t="shared" si="13"/>
        <v>-1.5365267796029127</v>
      </c>
      <c r="E174" s="9">
        <f t="shared" si="14"/>
        <v>8.0547554559752541</v>
      </c>
      <c r="H174" s="1">
        <v>164</v>
      </c>
      <c r="I174" s="9">
        <f t="shared" si="15"/>
        <v>26.575772699873966</v>
      </c>
      <c r="J174" s="13">
        <f t="shared" si="16"/>
        <v>-4.9798032246337005</v>
      </c>
      <c r="K174" s="9">
        <f t="shared" si="17"/>
        <v>26.105042701349756</v>
      </c>
    </row>
    <row r="175" spans="2:11" x14ac:dyDescent="0.55000000000000004">
      <c r="B175" s="1">
        <v>165</v>
      </c>
      <c r="C175" s="9">
        <f t="shared" si="12"/>
        <v>8.25</v>
      </c>
      <c r="D175" s="13">
        <f t="shared" si="13"/>
        <v>-2.5493902035932821</v>
      </c>
      <c r="E175" s="9">
        <f t="shared" si="14"/>
        <v>7.8462162594350282</v>
      </c>
      <c r="H175" s="1">
        <v>165</v>
      </c>
      <c r="I175" s="9">
        <f t="shared" si="15"/>
        <v>27.112638920657893</v>
      </c>
      <c r="J175" s="13">
        <f t="shared" si="16"/>
        <v>-8.3782661888348091</v>
      </c>
      <c r="K175" s="9">
        <f t="shared" si="17"/>
        <v>25.785651919449325</v>
      </c>
    </row>
    <row r="176" spans="2:11" x14ac:dyDescent="0.55000000000000004">
      <c r="B176" s="1">
        <v>166</v>
      </c>
      <c r="C176" s="9">
        <f t="shared" si="12"/>
        <v>8.3000000000000007</v>
      </c>
      <c r="D176" s="13">
        <f t="shared" si="13"/>
        <v>-3.5339681199901185</v>
      </c>
      <c r="E176" s="9">
        <f t="shared" si="14"/>
        <v>7.510064535467956</v>
      </c>
      <c r="H176" s="1">
        <v>166</v>
      </c>
      <c r="I176" s="9">
        <f t="shared" si="15"/>
        <v>27.660350558516758</v>
      </c>
      <c r="J176" s="13">
        <f t="shared" si="16"/>
        <v>-11.777204465246877</v>
      </c>
      <c r="K176" s="9">
        <f t="shared" si="17"/>
        <v>25.02783346603951</v>
      </c>
    </row>
    <row r="177" spans="2:11" x14ac:dyDescent="0.55000000000000004">
      <c r="B177" s="1">
        <v>167</v>
      </c>
      <c r="C177" s="9">
        <f t="shared" si="12"/>
        <v>8.35</v>
      </c>
      <c r="D177" s="13">
        <f t="shared" si="13"/>
        <v>-4.474153738074631</v>
      </c>
      <c r="E177" s="9">
        <f t="shared" si="14"/>
        <v>7.05013817794182</v>
      </c>
      <c r="H177" s="1">
        <v>167</v>
      </c>
      <c r="I177" s="9">
        <f t="shared" si="15"/>
        <v>28.219126705408609</v>
      </c>
      <c r="J177" s="13">
        <f t="shared" si="16"/>
        <v>-15.12056421966534</v>
      </c>
      <c r="K177" s="9">
        <f t="shared" si="17"/>
        <v>23.826196710656145</v>
      </c>
    </row>
    <row r="178" spans="2:11" x14ac:dyDescent="0.55000000000000004">
      <c r="B178" s="1">
        <v>168</v>
      </c>
      <c r="C178" s="9">
        <f t="shared" si="12"/>
        <v>8.4</v>
      </c>
      <c r="D178" s="13">
        <f t="shared" si="13"/>
        <v>-5.3543615138889979</v>
      </c>
      <c r="E178" s="9">
        <f t="shared" si="14"/>
        <v>6.4723112393166264</v>
      </c>
      <c r="H178" s="1">
        <v>168</v>
      </c>
      <c r="I178" s="9">
        <f t="shared" si="15"/>
        <v>28.789190879242675</v>
      </c>
      <c r="J178" s="13">
        <f t="shared" si="16"/>
        <v>-18.350920911883467</v>
      </c>
      <c r="K178" s="9">
        <f t="shared" si="17"/>
        <v>22.182452821256437</v>
      </c>
    </row>
    <row r="179" spans="2:11" x14ac:dyDescent="0.55000000000000004">
      <c r="B179" s="1">
        <v>169</v>
      </c>
      <c r="C179" s="9">
        <f t="shared" si="12"/>
        <v>8.4500000000000011</v>
      </c>
      <c r="D179" s="13">
        <f t="shared" si="13"/>
        <v>-6.1597849017109274</v>
      </c>
      <c r="E179" s="9">
        <f t="shared" si="14"/>
        <v>5.7844230450974203</v>
      </c>
      <c r="H179" s="1">
        <v>169</v>
      </c>
      <c r="I179" s="9">
        <f t="shared" si="15"/>
        <v>29.370771113289432</v>
      </c>
      <c r="J179" s="13">
        <f t="shared" si="16"/>
        <v>-21.410370704763039</v>
      </c>
      <c r="K179" s="9">
        <f t="shared" si="17"/>
        <v>20.105676364496212</v>
      </c>
    </row>
    <row r="180" spans="2:11" x14ac:dyDescent="0.55000000000000004">
      <c r="B180" s="1">
        <v>170</v>
      </c>
      <c r="C180" s="9">
        <f t="shared" si="12"/>
        <v>8.5</v>
      </c>
      <c r="D180" s="13">
        <f t="shared" si="13"/>
        <v>-6.8766444521870485</v>
      </c>
      <c r="E180" s="9">
        <f t="shared" si="14"/>
        <v>4.9961746444860271</v>
      </c>
      <c r="H180" s="1">
        <v>170</v>
      </c>
      <c r="I180" s="9">
        <f t="shared" si="15"/>
        <v>29.964100047397011</v>
      </c>
      <c r="J180" s="13">
        <f t="shared" si="16"/>
        <v>-24.241466159495335</v>
      </c>
      <c r="K180" s="9">
        <f t="shared" si="17"/>
        <v>17.612456106076177</v>
      </c>
    </row>
    <row r="181" spans="2:11" x14ac:dyDescent="0.55000000000000004">
      <c r="B181" s="1">
        <v>171</v>
      </c>
      <c r="C181" s="9">
        <f t="shared" si="12"/>
        <v>8.5500000000000007</v>
      </c>
      <c r="D181" s="13">
        <f t="shared" si="13"/>
        <v>-7.492422114375028</v>
      </c>
      <c r="E181" s="9">
        <f t="shared" si="14"/>
        <v>4.1189939135696774</v>
      </c>
      <c r="H181" s="1">
        <v>171</v>
      </c>
      <c r="I181" s="9">
        <f t="shared" si="15"/>
        <v>30.569415021050208</v>
      </c>
      <c r="J181" s="13">
        <f t="shared" si="16"/>
        <v>-26.788182587979499</v>
      </c>
      <c r="K181" s="9">
        <f t="shared" si="17"/>
        <v>14.726928001531144</v>
      </c>
    </row>
    <row r="182" spans="2:11" x14ac:dyDescent="0.55000000000000004">
      <c r="B182" s="1">
        <v>172</v>
      </c>
      <c r="C182" s="9">
        <f t="shared" si="12"/>
        <v>8.6</v>
      </c>
      <c r="D182" s="13">
        <f t="shared" si="13"/>
        <v>-7.9960777786389547</v>
      </c>
      <c r="E182" s="9">
        <f t="shared" si="14"/>
        <v>3.1658711530882484</v>
      </c>
      <c r="H182" s="1">
        <v>172</v>
      </c>
      <c r="I182" s="9">
        <f t="shared" si="15"/>
        <v>31.186958168309459</v>
      </c>
      <c r="J182" s="13">
        <f t="shared" si="16"/>
        <v>-28.996900371274641</v>
      </c>
      <c r="K182" s="9">
        <f t="shared" si="17"/>
        <v>11.48068502530475</v>
      </c>
    </row>
    <row r="183" spans="2:11" x14ac:dyDescent="0.55000000000000004">
      <c r="B183" s="1">
        <v>173</v>
      </c>
      <c r="C183" s="9">
        <f t="shared" si="12"/>
        <v>8.65</v>
      </c>
      <c r="D183" s="13">
        <f t="shared" si="13"/>
        <v>-8.3782443437626526</v>
      </c>
      <c r="E183" s="9">
        <f t="shared" si="14"/>
        <v>2.1511675239760191</v>
      </c>
      <c r="H183" s="1">
        <v>173</v>
      </c>
      <c r="I183" s="9">
        <f t="shared" si="15"/>
        <v>31.81697651466769</v>
      </c>
      <c r="J183" s="13">
        <f t="shared" si="16"/>
        <v>-30.817387690132225</v>
      </c>
      <c r="K183" s="9">
        <f t="shared" si="17"/>
        <v>7.9125602993596349</v>
      </c>
    </row>
    <row r="184" spans="2:11" x14ac:dyDescent="0.55000000000000004">
      <c r="B184" s="1">
        <v>174</v>
      </c>
      <c r="C184" s="9">
        <f t="shared" si="12"/>
        <v>8.7000000000000011</v>
      </c>
      <c r="D184" s="13">
        <f t="shared" si="13"/>
        <v>-8.6313979014359532</v>
      </c>
      <c r="E184" s="9">
        <f t="shared" si="14"/>
        <v>1.090399132009479</v>
      </c>
      <c r="H184" s="1">
        <v>174</v>
      </c>
      <c r="I184" s="9">
        <f t="shared" si="15"/>
        <v>32.459722075863795</v>
      </c>
      <c r="J184" s="13">
        <f t="shared" si="16"/>
        <v>-32.203767472046557</v>
      </c>
      <c r="K184" s="9">
        <f t="shared" si="17"/>
        <v>4.0682819283667593</v>
      </c>
    </row>
    <row r="185" spans="2:11" x14ac:dyDescent="0.55000000000000004">
      <c r="B185" s="1">
        <v>175</v>
      </c>
      <c r="C185" s="9">
        <f t="shared" si="12"/>
        <v>8.75</v>
      </c>
      <c r="D185" s="13">
        <f t="shared" si="13"/>
        <v>-8.75</v>
      </c>
      <c r="E185" s="9">
        <f t="shared" si="14"/>
        <v>3.8590278975819681E-14</v>
      </c>
      <c r="H185" s="1">
        <v>175</v>
      </c>
      <c r="I185" s="9">
        <f t="shared" si="15"/>
        <v>33.115451958692312</v>
      </c>
      <c r="J185" s="13">
        <f t="shared" si="16"/>
        <v>-33.115451958692312</v>
      </c>
      <c r="K185" s="9">
        <f t="shared" si="17"/>
        <v>1.4604966051386178E-13</v>
      </c>
    </row>
    <row r="186" spans="2:11" x14ac:dyDescent="0.55000000000000004">
      <c r="B186" s="1">
        <v>176</v>
      </c>
      <c r="C186" s="9">
        <f t="shared" si="12"/>
        <v>8.8000000000000007</v>
      </c>
      <c r="D186" s="13">
        <f t="shared" si="13"/>
        <v>-8.7306093715674074</v>
      </c>
      <c r="E186" s="9">
        <f t="shared" si="14"/>
        <v>-1.1029324553658637</v>
      </c>
      <c r="H186" s="1">
        <v>176</v>
      </c>
      <c r="I186" s="9">
        <f t="shared" si="15"/>
        <v>33.784428463849558</v>
      </c>
      <c r="J186" s="13">
        <f t="shared" si="16"/>
        <v>-33.518028154492455</v>
      </c>
      <c r="K186" s="9">
        <f t="shared" si="17"/>
        <v>-4.2343116634961318</v>
      </c>
    </row>
    <row r="187" spans="2:11" x14ac:dyDescent="0.55000000000000004">
      <c r="B187" s="1">
        <v>177</v>
      </c>
      <c r="C187" s="9">
        <f t="shared" si="12"/>
        <v>8.85</v>
      </c>
      <c r="D187" s="13">
        <f t="shared" si="13"/>
        <v>-8.5719609759883824</v>
      </c>
      <c r="E187" s="9">
        <f t="shared" si="14"/>
        <v>-2.2009055014089758</v>
      </c>
      <c r="H187" s="1">
        <v>177</v>
      </c>
      <c r="I187" s="9">
        <f t="shared" si="15"/>
        <v>34.466919190857389</v>
      </c>
      <c r="J187" s="13">
        <f t="shared" si="16"/>
        <v>-33.38407754424572</v>
      </c>
      <c r="K187" s="9">
        <f t="shared" si="17"/>
        <v>-8.5715742444945349</v>
      </c>
    </row>
    <row r="188" spans="2:11" x14ac:dyDescent="0.55000000000000004">
      <c r="B188" s="1">
        <v>178</v>
      </c>
      <c r="C188" s="9">
        <f t="shared" si="12"/>
        <v>8.9</v>
      </c>
      <c r="D188" s="13">
        <f t="shared" si="13"/>
        <v>-8.2750107244054369</v>
      </c>
      <c r="E188" s="9">
        <f t="shared" si="14"/>
        <v>-3.2763085188936385</v>
      </c>
      <c r="H188" s="1">
        <v>178</v>
      </c>
      <c r="I188" s="9">
        <f t="shared" si="15"/>
        <v>35.163197145106615</v>
      </c>
      <c r="J188" s="13">
        <f t="shared" si="16"/>
        <v>-32.693913874173013</v>
      </c>
      <c r="K188" s="9">
        <f t="shared" si="17"/>
        <v>-12.944436220005535</v>
      </c>
    </row>
    <row r="189" spans="2:11" x14ac:dyDescent="0.55000000000000004">
      <c r="B189" s="1">
        <v>179</v>
      </c>
      <c r="C189" s="9">
        <f t="shared" si="12"/>
        <v>8.9500000000000011</v>
      </c>
      <c r="D189" s="13">
        <f t="shared" si="13"/>
        <v>-7.8429447863925814</v>
      </c>
      <c r="E189" s="9">
        <f t="shared" si="14"/>
        <v>-4.3116953832103508</v>
      </c>
      <c r="H189" s="1">
        <v>179</v>
      </c>
      <c r="I189" s="9">
        <f t="shared" si="15"/>
        <v>35.873540847062763</v>
      </c>
      <c r="J189" s="13">
        <f t="shared" si="16"/>
        <v>-31.436223481107504</v>
      </c>
      <c r="K189" s="9">
        <f t="shared" si="17"/>
        <v>-17.282210106110441</v>
      </c>
    </row>
    <row r="190" spans="2:11" x14ac:dyDescent="0.55000000000000004">
      <c r="B190" s="1">
        <v>180</v>
      </c>
      <c r="C190" s="9">
        <f t="shared" si="12"/>
        <v>9</v>
      </c>
      <c r="D190" s="13">
        <f t="shared" si="13"/>
        <v>-7.2811529493745315</v>
      </c>
      <c r="E190" s="9">
        <f t="shared" si="14"/>
        <v>-5.2900672706322522</v>
      </c>
      <c r="H190" s="1">
        <v>180</v>
      </c>
      <c r="I190" s="9">
        <f t="shared" si="15"/>
        <v>36.598234443677988</v>
      </c>
      <c r="J190" s="13">
        <f t="shared" si="16"/>
        <v>-29.608593629054059</v>
      </c>
      <c r="K190" s="9">
        <f t="shared" si="17"/>
        <v>-21.511902465936323</v>
      </c>
    </row>
    <row r="191" spans="2:11" x14ac:dyDescent="0.55000000000000004">
      <c r="B191" s="1">
        <v>181</v>
      </c>
      <c r="C191" s="9">
        <f t="shared" si="12"/>
        <v>9.0500000000000007</v>
      </c>
      <c r="D191" s="13">
        <f t="shared" si="13"/>
        <v>-6.5971660781637853</v>
      </c>
      <c r="E191" s="9">
        <f t="shared" si="14"/>
        <v>-6.1951513086546228</v>
      </c>
      <c r="H191" s="1">
        <v>181</v>
      </c>
      <c r="I191" s="9">
        <f t="shared" si="15"/>
        <v>37.337567822053657</v>
      </c>
      <c r="J191" s="13">
        <f t="shared" si="16"/>
        <v>-27.217915566496359</v>
      </c>
      <c r="K191" s="9">
        <f t="shared" si="17"/>
        <v>-25.55932399500292</v>
      </c>
    </row>
    <row r="192" spans="2:11" x14ac:dyDescent="0.55000000000000004">
      <c r="B192" s="1">
        <v>182</v>
      </c>
      <c r="C192" s="9">
        <f t="shared" si="12"/>
        <v>9.1</v>
      </c>
      <c r="D192" s="13">
        <f t="shared" si="13"/>
        <v>-5.8005583067130928</v>
      </c>
      <c r="E192" s="9">
        <f t="shared" si="14"/>
        <v>-7.0116705092596687</v>
      </c>
      <c r="H192" s="1">
        <v>182</v>
      </c>
      <c r="I192" s="9">
        <f t="shared" si="15"/>
        <v>38.09183672539902</v>
      </c>
      <c r="J192" s="13">
        <f t="shared" si="16"/>
        <v>-24.280650542359577</v>
      </c>
      <c r="K192" s="9">
        <f t="shared" si="17"/>
        <v>-29.350264638573044</v>
      </c>
    </row>
    <row r="193" spans="2:11" x14ac:dyDescent="0.55000000000000004">
      <c r="B193" s="1">
        <v>183</v>
      </c>
      <c r="C193" s="9">
        <f t="shared" si="12"/>
        <v>9.15</v>
      </c>
      <c r="D193" s="13">
        <f t="shared" si="13"/>
        <v>-4.9028151740578432</v>
      </c>
      <c r="E193" s="9">
        <f t="shared" si="14"/>
        <v>-7.7256005183434233</v>
      </c>
      <c r="H193" s="1">
        <v>183</v>
      </c>
      <c r="I193" s="9">
        <f t="shared" si="15"/>
        <v>38.861342871332468</v>
      </c>
      <c r="J193" s="13">
        <f t="shared" si="16"/>
        <v>-20.822948799326056</v>
      </c>
      <c r="K193" s="9">
        <f t="shared" si="17"/>
        <v>-32.8117170087746</v>
      </c>
    </row>
    <row r="194" spans="2:11" x14ac:dyDescent="0.55000000000000004">
      <c r="B194" s="1">
        <v>184</v>
      </c>
      <c r="C194" s="9">
        <f t="shared" si="12"/>
        <v>9.2000000000000011</v>
      </c>
      <c r="D194" s="13">
        <f t="shared" si="13"/>
        <v>-3.9171694823987</v>
      </c>
      <c r="E194" s="9">
        <f t="shared" si="14"/>
        <v>-8.324408882687365</v>
      </c>
      <c r="H194" s="1">
        <v>184</v>
      </c>
      <c r="I194" s="9">
        <f t="shared" si="15"/>
        <v>39.646394072572605</v>
      </c>
      <c r="J194" s="13">
        <f t="shared" si="16"/>
        <v>-16.880613581329794</v>
      </c>
      <c r="K194" s="9">
        <f t="shared" si="17"/>
        <v>-35.873129889592072</v>
      </c>
    </row>
    <row r="195" spans="2:11" x14ac:dyDescent="0.55000000000000004">
      <c r="B195" s="1">
        <v>185</v>
      </c>
      <c r="C195" s="9">
        <f t="shared" si="12"/>
        <v>9.25</v>
      </c>
      <c r="D195" s="13">
        <f t="shared" si="13"/>
        <v>-2.8584071979682717</v>
      </c>
      <c r="E195" s="9">
        <f t="shared" si="14"/>
        <v>-8.7972727757301676</v>
      </c>
      <c r="H195" s="1">
        <v>185</v>
      </c>
      <c r="I195" s="9">
        <f t="shared" si="15"/>
        <v>40.447304360067399</v>
      </c>
      <c r="J195" s="13">
        <f t="shared" si="16"/>
        <v>-12.498904423916768</v>
      </c>
      <c r="K195" s="9">
        <f t="shared" si="17"/>
        <v>-38.467672378215468</v>
      </c>
    </row>
    <row r="196" spans="2:11" x14ac:dyDescent="0.55000000000000004">
      <c r="B196" s="1">
        <v>186</v>
      </c>
      <c r="C196" s="9">
        <f t="shared" si="12"/>
        <v>9.3000000000000007</v>
      </c>
      <c r="D196" s="13">
        <f t="shared" si="13"/>
        <v>-1.7426462256472539</v>
      </c>
      <c r="E196" s="9">
        <f t="shared" si="14"/>
        <v>-9.1352714317768022</v>
      </c>
      <c r="H196" s="1">
        <v>186</v>
      </c>
      <c r="I196" s="9">
        <f t="shared" si="15"/>
        <v>41.264394108610801</v>
      </c>
      <c r="J196" s="13">
        <f t="shared" si="16"/>
        <v>-7.7321764136549875</v>
      </c>
      <c r="K196" s="9">
        <f t="shared" si="17"/>
        <v>-40.533488241932389</v>
      </c>
    </row>
    <row r="197" spans="2:11" x14ac:dyDescent="0.55000000000000004">
      <c r="B197" s="1">
        <v>187</v>
      </c>
      <c r="C197" s="9">
        <f t="shared" si="12"/>
        <v>9.35</v>
      </c>
      <c r="D197" s="13">
        <f t="shared" si="13"/>
        <v>-0.58709135759906872</v>
      </c>
      <c r="E197" s="9">
        <f t="shared" si="14"/>
        <v>-9.3315499108043394</v>
      </c>
      <c r="H197" s="1">
        <v>187</v>
      </c>
      <c r="I197" s="9">
        <f t="shared" si="15"/>
        <v>42.097990164996908</v>
      </c>
      <c r="J197" s="13">
        <f t="shared" si="16"/>
        <v>-2.64335467360003</v>
      </c>
      <c r="K197" s="9">
        <f t="shared" si="17"/>
        <v>-42.014919397777419</v>
      </c>
    </row>
    <row r="198" spans="2:11" x14ac:dyDescent="0.55000000000000004">
      <c r="B198" s="1">
        <v>188</v>
      </c>
      <c r="C198" s="9">
        <f t="shared" si="12"/>
        <v>9.4</v>
      </c>
      <c r="D198" s="13">
        <f t="shared" si="13"/>
        <v>0.59023088357555042</v>
      </c>
      <c r="E198" s="9">
        <f t="shared" si="14"/>
        <v>-9.381451247225753</v>
      </c>
      <c r="H198" s="1">
        <v>188</v>
      </c>
      <c r="I198" s="9">
        <f t="shared" si="15"/>
        <v>42.948425978763034</v>
      </c>
      <c r="J198" s="13">
        <f t="shared" si="16"/>
        <v>2.6967539801728115</v>
      </c>
      <c r="K198" s="9">
        <f t="shared" si="17"/>
        <v>-42.863677070728656</v>
      </c>
    </row>
    <row r="199" spans="2:11" x14ac:dyDescent="0.55000000000000004">
      <c r="B199" s="1">
        <v>189</v>
      </c>
      <c r="C199" s="9">
        <f t="shared" si="12"/>
        <v>9.4500000000000011</v>
      </c>
      <c r="D199" s="13">
        <f t="shared" si="13"/>
        <v>1.7707534228350958</v>
      </c>
      <c r="E199" s="9">
        <f t="shared" si="14"/>
        <v>-9.2826145193861098</v>
      </c>
      <c r="H199" s="1">
        <v>189</v>
      </c>
      <c r="I199" s="9">
        <f t="shared" si="15"/>
        <v>43.816041735573982</v>
      </c>
      <c r="J199" s="13">
        <f t="shared" si="16"/>
        <v>8.2103075003548192</v>
      </c>
      <c r="K199" s="9">
        <f t="shared" si="17"/>
        <v>-43.039939174250449</v>
      </c>
    </row>
    <row r="200" spans="2:11" x14ac:dyDescent="0.55000000000000004">
      <c r="B200" s="1">
        <v>190</v>
      </c>
      <c r="C200" s="9">
        <f t="shared" si="12"/>
        <v>9.5</v>
      </c>
      <c r="D200" s="13">
        <f t="shared" si="13"/>
        <v>2.9356614465619923</v>
      </c>
      <c r="E200" s="9">
        <f t="shared" si="14"/>
        <v>-9.0350369048039614</v>
      </c>
      <c r="H200" s="1">
        <v>190</v>
      </c>
      <c r="I200" s="9">
        <f t="shared" si="15"/>
        <v>44.701184493300836</v>
      </c>
      <c r="J200" s="13">
        <f t="shared" si="16"/>
        <v>13.813425677119794</v>
      </c>
      <c r="K200" s="9">
        <f t="shared" si="17"/>
        <v>-42.513352798465647</v>
      </c>
    </row>
    <row r="201" spans="2:11" x14ac:dyDescent="0.55000000000000004">
      <c r="B201" s="1">
        <v>191</v>
      </c>
      <c r="C201" s="9">
        <f t="shared" si="12"/>
        <v>9.5500000000000007</v>
      </c>
      <c r="D201" s="13">
        <f t="shared" si="13"/>
        <v>4.0661922344464303</v>
      </c>
      <c r="E201" s="9">
        <f t="shared" si="14"/>
        <v>-8.6410983510504948</v>
      </c>
      <c r="H201" s="1">
        <v>191</v>
      </c>
      <c r="I201" s="9">
        <f t="shared" si="15"/>
        <v>45.604208320848748</v>
      </c>
      <c r="J201" s="13">
        <f t="shared" si="16"/>
        <v>19.417327511236902</v>
      </c>
      <c r="K201" s="9">
        <f t="shared" si="17"/>
        <v>-41.263921394999926</v>
      </c>
    </row>
    <row r="202" spans="2:11" x14ac:dyDescent="0.55000000000000004">
      <c r="B202" s="1">
        <v>192</v>
      </c>
      <c r="C202" s="9">
        <f t="shared" si="12"/>
        <v>9.6000000000000014</v>
      </c>
      <c r="D202" s="13">
        <f t="shared" si="13"/>
        <v>5.1439372317983496</v>
      </c>
      <c r="E202" s="9">
        <f t="shared" si="14"/>
        <v>-8.1055480848193575</v>
      </c>
      <c r="H202" s="1">
        <v>192</v>
      </c>
      <c r="I202" s="9">
        <f t="shared" si="15"/>
        <v>46.5254744397892</v>
      </c>
      <c r="J202" s="13">
        <f t="shared" si="16"/>
        <v>24.929595853949383</v>
      </c>
      <c r="K202" s="9">
        <f t="shared" si="17"/>
        <v>-39.282757316744302</v>
      </c>
    </row>
    <row r="203" spans="2:11" x14ac:dyDescent="0.55000000000000004">
      <c r="B203" s="1">
        <v>193</v>
      </c>
      <c r="C203" s="9">
        <f t="shared" ref="C203:C210" si="18">0.05*B203</f>
        <v>9.65</v>
      </c>
      <c r="D203" s="13">
        <f t="shared" ref="D203:D210" si="19">C203*COS(2*PI()*B203/50)</f>
        <v>6.1511415010748323</v>
      </c>
      <c r="E203" s="9">
        <f t="shared" ref="E203:E210" si="20">C203*SIN(2*PI()*B203/50)</f>
        <v>-7.4354527927863847</v>
      </c>
      <c r="H203" s="1">
        <v>193</v>
      </c>
      <c r="I203" s="9">
        <f t="shared" ref="I203:I210" si="21">EXP(0.02*H203)</f>
        <v>47.465351368853518</v>
      </c>
      <c r="J203" s="13">
        <f t="shared" ref="J203:J210" si="22">I203*COS(2*PI()*H203/50)</f>
        <v>30.255553644357924</v>
      </c>
      <c r="K203" s="9">
        <f t="shared" ref="K203:K210" si="23">I203*SIN(2*PI()*H203/50)</f>
        <v>-36.572681802707663</v>
      </c>
    </row>
    <row r="204" spans="2:11" x14ac:dyDescent="0.55000000000000004">
      <c r="B204" s="1">
        <v>194</v>
      </c>
      <c r="C204" s="9">
        <f t="shared" si="18"/>
        <v>9.7000000000000011</v>
      </c>
      <c r="D204" s="13">
        <f t="shared" si="19"/>
        <v>7.0709956859876906</v>
      </c>
      <c r="E204" s="9">
        <f t="shared" si="20"/>
        <v>-6.640106927508282</v>
      </c>
      <c r="H204" s="1">
        <v>194</v>
      </c>
      <c r="I204" s="9">
        <f t="shared" si="21"/>
        <v>48.424215071345174</v>
      </c>
      <c r="J204" s="13">
        <f t="shared" si="22"/>
        <v>35.299733594517711</v>
      </c>
      <c r="K204" s="9">
        <f t="shared" si="23"/>
        <v>-33.148656283957735</v>
      </c>
    </row>
    <row r="205" spans="2:11" x14ac:dyDescent="0.55000000000000004">
      <c r="B205" s="1">
        <v>195</v>
      </c>
      <c r="C205" s="9">
        <f t="shared" si="18"/>
        <v>9.75</v>
      </c>
      <c r="D205" s="13">
        <f t="shared" si="19"/>
        <v>7.8879156951557325</v>
      </c>
      <c r="E205" s="9">
        <f t="shared" si="20"/>
        <v>-5.7309062098516206</v>
      </c>
      <c r="H205" s="1">
        <v>195</v>
      </c>
      <c r="I205" s="9">
        <f t="shared" si="21"/>
        <v>49.402449105530167</v>
      </c>
      <c r="J205" s="13">
        <f t="shared" si="22"/>
        <v>39.967420890117296</v>
      </c>
      <c r="K205" s="9">
        <f t="shared" si="23"/>
        <v>-29.03803101136015</v>
      </c>
    </row>
    <row r="206" spans="2:11" x14ac:dyDescent="0.55000000000000004">
      <c r="B206" s="1">
        <v>196</v>
      </c>
      <c r="C206" s="9">
        <f t="shared" si="18"/>
        <v>9.8000000000000007</v>
      </c>
      <c r="D206" s="13">
        <f t="shared" si="19"/>
        <v>8.5878054644298558</v>
      </c>
      <c r="E206" s="9">
        <f t="shared" si="20"/>
        <v>-4.7211860061968247</v>
      </c>
      <c r="H206" s="1">
        <v>196</v>
      </c>
      <c r="I206" s="9">
        <f t="shared" si="21"/>
        <v>50.400444778065484</v>
      </c>
      <c r="J206" s="13">
        <f t="shared" si="22"/>
        <v>44.166246436200609</v>
      </c>
      <c r="K206" s="9">
        <f t="shared" si="23"/>
        <v>-24.280599448193733</v>
      </c>
    </row>
    <row r="207" spans="2:11" x14ac:dyDescent="0.55000000000000004">
      <c r="B207" s="1">
        <v>197</v>
      </c>
      <c r="C207" s="9">
        <f t="shared" si="18"/>
        <v>9.8500000000000014</v>
      </c>
      <c r="D207" s="13">
        <f t="shared" si="19"/>
        <v>9.1582983859992702</v>
      </c>
      <c r="E207" s="9">
        <f t="shared" si="20"/>
        <v>-3.6260268439441004</v>
      </c>
      <c r="H207" s="1">
        <v>197</v>
      </c>
      <c r="I207" s="9">
        <f t="shared" si="21"/>
        <v>51.418601300526916</v>
      </c>
      <c r="J207" s="13">
        <f t="shared" si="22"/>
        <v>47.807806426492945</v>
      </c>
      <c r="K207" s="9">
        <f t="shared" si="23"/>
        <v>-18.928449603428387</v>
      </c>
    </row>
    <row r="208" spans="2:11" x14ac:dyDescent="0.55000000000000004">
      <c r="B208" s="1">
        <v>198</v>
      </c>
      <c r="C208" s="9">
        <f t="shared" si="18"/>
        <v>9.9</v>
      </c>
      <c r="D208" s="13">
        <f t="shared" si="19"/>
        <v>9.5889732951734494</v>
      </c>
      <c r="E208" s="9">
        <f t="shared" si="20"/>
        <v>-2.4620298829320584</v>
      </c>
      <c r="H208" s="1">
        <v>198</v>
      </c>
      <c r="I208" s="9">
        <f t="shared" si="21"/>
        <v>52.457325949099051</v>
      </c>
      <c r="J208" s="13">
        <f t="shared" si="22"/>
        <v>50.809282592133329</v>
      </c>
      <c r="K208" s="9">
        <f t="shared" si="23"/>
        <v>-13.045606471251428</v>
      </c>
    </row>
    <row r="209" spans="2:11" x14ac:dyDescent="0.55000000000000004">
      <c r="B209" s="1">
        <v>199</v>
      </c>
      <c r="C209" s="9">
        <f t="shared" si="18"/>
        <v>9.9500000000000011</v>
      </c>
      <c r="D209" s="13">
        <f t="shared" si="19"/>
        <v>9.8715412780790555</v>
      </c>
      <c r="E209" s="9">
        <f t="shared" si="20"/>
        <v>-1.24706567396483</v>
      </c>
      <c r="H209" s="1">
        <v>199</v>
      </c>
      <c r="I209" s="9">
        <f t="shared" si="21"/>
        <v>53.517034227491159</v>
      </c>
      <c r="J209" s="13">
        <f t="shared" si="22"/>
        <v>53.095036427844072</v>
      </c>
      <c r="K209" s="9">
        <f t="shared" si="23"/>
        <v>-6.7074629505030279</v>
      </c>
    </row>
    <row r="210" spans="2:11" ht="18.5" thickBot="1" x14ac:dyDescent="0.6">
      <c r="B210" s="3">
        <v>200</v>
      </c>
      <c r="C210" s="9">
        <f t="shared" si="18"/>
        <v>10</v>
      </c>
      <c r="D210" s="13">
        <f t="shared" si="19"/>
        <v>10</v>
      </c>
      <c r="E210" s="9">
        <f t="shared" si="20"/>
        <v>-9.8011876392689601E-15</v>
      </c>
      <c r="H210" s="3">
        <v>200</v>
      </c>
      <c r="I210" s="9">
        <f t="shared" si="21"/>
        <v>54.598150033144236</v>
      </c>
      <c r="J210" s="13">
        <f t="shared" si="22"/>
        <v>54.598150033144236</v>
      </c>
      <c r="K210" s="9">
        <f t="shared" si="23"/>
        <v>-5.3512671323180544E-14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B8E0-64D7-4FBD-8457-65423BC5E71E}">
  <dimension ref="B9:L111"/>
  <sheetViews>
    <sheetView workbookViewId="0">
      <selection activeCell="B10" sqref="B10"/>
    </sheetView>
  </sheetViews>
  <sheetFormatPr defaultRowHeight="18" x14ac:dyDescent="0.55000000000000004"/>
  <cols>
    <col min="8" max="8" width="18.4140625" customWidth="1"/>
  </cols>
  <sheetData>
    <row r="9" spans="2:12" ht="18.5" thickBot="1" x14ac:dyDescent="0.6">
      <c r="C9" s="12" t="s">
        <v>13</v>
      </c>
      <c r="E9" s="12" t="s">
        <v>14</v>
      </c>
    </row>
    <row r="10" spans="2:12" ht="18.5" thickBot="1" x14ac:dyDescent="0.6">
      <c r="B10" s="6" t="s">
        <v>0</v>
      </c>
      <c r="C10" s="6" t="s">
        <v>10</v>
      </c>
      <c r="D10" s="8" t="s">
        <v>11</v>
      </c>
      <c r="E10" s="7" t="s">
        <v>10</v>
      </c>
      <c r="F10" s="7" t="s">
        <v>11</v>
      </c>
      <c r="H10" s="16" t="s">
        <v>13</v>
      </c>
      <c r="I10" s="16" t="s">
        <v>5</v>
      </c>
      <c r="J10" s="18">
        <v>1</v>
      </c>
      <c r="K10" s="17" t="s">
        <v>12</v>
      </c>
      <c r="L10" s="5">
        <v>3</v>
      </c>
    </row>
    <row r="11" spans="2:12" ht="18.5" thickBot="1" x14ac:dyDescent="0.6">
      <c r="B11" s="1">
        <v>0</v>
      </c>
      <c r="C11" s="1">
        <f t="shared" ref="C11:C42" si="0">($J$10+$L$10)*COS(2*PI()*B11/100)-$J$10*COS(2*PI()*($J$10+$L$10)*B11/($J$10*100))</f>
        <v>3</v>
      </c>
      <c r="D11" s="9">
        <f t="shared" ref="D11:D42" si="1">($J$10+$L$10)*SIN(2*PI()*B11/100)-$J$10*SIN(2*PI()*($J$10+$L$10)*B11/($J$10*100))</f>
        <v>0</v>
      </c>
      <c r="E11" s="2">
        <f t="shared" ref="E11:E42" si="2">($L$12-$J$12)*COS(2*PI()*B11/100)+$J$12*COS(2*PI()*($L$12-$J$12)*B11/($J$12*100))</f>
        <v>3</v>
      </c>
      <c r="F11" s="2">
        <f t="shared" ref="F11:F42" si="3">($L$12-$J$12)*SIN(2*PI()*B11/100)-$J$12*SIN(2*PI()*($L$12-$J$12)*B11/($J$12*100))</f>
        <v>0</v>
      </c>
    </row>
    <row r="12" spans="2:12" ht="18.5" thickBot="1" x14ac:dyDescent="0.6">
      <c r="B12" s="1">
        <v>1</v>
      </c>
      <c r="C12" s="1">
        <f t="shared" si="0"/>
        <v>3.0235237525844552</v>
      </c>
      <c r="D12" s="9">
        <f t="shared" si="1"/>
        <v>2.4721909523987007E-3</v>
      </c>
      <c r="E12" s="2">
        <f t="shared" si="2"/>
        <v>2.9881681581710211</v>
      </c>
      <c r="F12" s="2">
        <f t="shared" si="3"/>
        <v>2.4780549432248944E-4</v>
      </c>
      <c r="H12" s="16" t="s">
        <v>14</v>
      </c>
      <c r="I12" s="16" t="s">
        <v>5</v>
      </c>
      <c r="J12" s="18">
        <v>1</v>
      </c>
      <c r="K12" s="17" t="s">
        <v>12</v>
      </c>
      <c r="L12" s="5">
        <v>3</v>
      </c>
    </row>
    <row r="13" spans="2:12" x14ac:dyDescent="0.55000000000000004">
      <c r="B13" s="1">
        <v>2</v>
      </c>
      <c r="C13" s="1">
        <f t="shared" si="0"/>
        <v>3.092152125214048</v>
      </c>
      <c r="D13" s="9">
        <f t="shared" si="1"/>
        <v>1.957926015550171E-2</v>
      </c>
      <c r="E13" s="2">
        <f t="shared" si="2"/>
        <v>2.952812563757587</v>
      </c>
      <c r="F13" s="2">
        <f t="shared" si="3"/>
        <v>1.9765799637537218E-3</v>
      </c>
    </row>
    <row r="14" spans="2:12" x14ac:dyDescent="0.55000000000000004">
      <c r="B14" s="1">
        <v>3</v>
      </c>
      <c r="C14" s="1">
        <f t="shared" si="0"/>
        <v>3.2001803754933436</v>
      </c>
      <c r="D14" s="9">
        <f t="shared" si="1"/>
        <v>6.4978152414209789E-2</v>
      </c>
      <c r="E14" s="2">
        <f t="shared" si="2"/>
        <v>2.894350987345629</v>
      </c>
      <c r="F14" s="2">
        <f t="shared" si="3"/>
        <v>6.6380764867712827E-3</v>
      </c>
    </row>
    <row r="15" spans="2:12" x14ac:dyDescent="0.55000000000000004">
      <c r="B15" s="1">
        <v>4</v>
      </c>
      <c r="C15" s="1">
        <f t="shared" si="0"/>
        <v>3.3385058495355278</v>
      </c>
      <c r="D15" s="9">
        <f t="shared" si="1"/>
        <v>0.1504316231574041</v>
      </c>
      <c r="E15" s="2">
        <f t="shared" si="2"/>
        <v>2.8134730023011256</v>
      </c>
      <c r="F15" s="2">
        <f t="shared" si="3"/>
        <v>1.5626100227994266E-2</v>
      </c>
    </row>
    <row r="16" spans="2:12" x14ac:dyDescent="0.55000000000000004">
      <c r="B16" s="1">
        <v>5</v>
      </c>
      <c r="C16" s="1">
        <f t="shared" si="0"/>
        <v>3.4952090708056667</v>
      </c>
      <c r="D16" s="9">
        <f t="shared" si="1"/>
        <v>0.28501146120463605</v>
      </c>
      <c r="E16" s="2">
        <f t="shared" si="2"/>
        <v>2.7111300269652547</v>
      </c>
      <c r="F16" s="2">
        <f t="shared" si="3"/>
        <v>3.0248736457421654E-2</v>
      </c>
    </row>
    <row r="17" spans="2:6" x14ac:dyDescent="0.55000000000000004">
      <c r="B17" s="1">
        <v>6</v>
      </c>
      <c r="C17" s="1">
        <f t="shared" si="0"/>
        <v>3.6563154240236924</v>
      </c>
      <c r="D17" s="9">
        <f t="shared" si="1"/>
        <v>0.47447148231044012</v>
      </c>
      <c r="E17" s="2">
        <f t="shared" si="2"/>
        <v>2.5885215991979145</v>
      </c>
      <c r="F17" s="2">
        <f t="shared" si="3"/>
        <v>5.1701999440667223E-2</v>
      </c>
    </row>
    <row r="18" spans="2:6" x14ac:dyDescent="0.55000000000000004">
      <c r="B18" s="1">
        <v>7</v>
      </c>
      <c r="C18" s="1">
        <f t="shared" si="0"/>
        <v>3.8066895244498031</v>
      </c>
      <c r="D18" s="9">
        <f t="shared" si="1"/>
        <v>0.72082991553160192</v>
      </c>
      <c r="E18" s="2">
        <f t="shared" si="2"/>
        <v>2.4470780946807289</v>
      </c>
      <c r="F18" s="2">
        <f t="shared" si="3"/>
        <v>8.1045340354356066E-2</v>
      </c>
    </row>
    <row r="19" spans="2:6" x14ac:dyDescent="0.55000000000000004">
      <c r="B19" s="1">
        <v>8</v>
      </c>
      <c r="C19" s="1">
        <f t="shared" si="0"/>
        <v>3.9310060117405272</v>
      </c>
      <c r="D19" s="9">
        <f t="shared" si="1"/>
        <v>1.0221876439408417</v>
      </c>
      <c r="E19" s="2">
        <f t="shared" si="2"/>
        <v>2.2884401550667235</v>
      </c>
      <c r="F19" s="2">
        <f t="shared" si="3"/>
        <v>0.11917942270141557</v>
      </c>
    </row>
    <row r="20" spans="2:6" x14ac:dyDescent="0.55000000000000004">
      <c r="B20" s="1">
        <v>9</v>
      </c>
      <c r="C20" s="1">
        <f t="shared" si="0"/>
        <v>4.0147356917567496</v>
      </c>
      <c r="D20" s="9">
        <f t="shared" si="1"/>
        <v>1.3727939371401974</v>
      </c>
      <c r="E20" s="2">
        <f t="shared" si="2"/>
        <v>2.1144351425691026</v>
      </c>
      <c r="F20" s="2">
        <f t="shared" si="3"/>
        <v>0.16682653749197374</v>
      </c>
    </row>
    <row r="21" spans="2:6" x14ac:dyDescent="0.55000000000000004">
      <c r="B21" s="1">
        <v>10</v>
      </c>
      <c r="C21" s="1">
        <f t="shared" si="0"/>
        <v>4.0450849718747373</v>
      </c>
      <c r="D21" s="9">
        <f t="shared" si="1"/>
        <v>1.7633557568774192</v>
      </c>
      <c r="E21" s="2">
        <f t="shared" si="2"/>
        <v>1.9270509831248424</v>
      </c>
      <c r="F21" s="2">
        <f t="shared" si="3"/>
        <v>0.22451398828979274</v>
      </c>
    </row>
    <row r="22" spans="2:6" x14ac:dyDescent="0.55000000000000004">
      <c r="B22" s="1">
        <v>11</v>
      </c>
      <c r="C22" s="1">
        <f t="shared" si="0"/>
        <v>4.0118294569914088</v>
      </c>
      <c r="D22" s="9">
        <f t="shared" si="1"/>
        <v>2.1815714063100806</v>
      </c>
      <c r="E22" s="2">
        <f t="shared" si="2"/>
        <v>1.7284078001373033</v>
      </c>
      <c r="F22" s="2">
        <f t="shared" si="3"/>
        <v>0.29256072876869066</v>
      </c>
    </row>
    <row r="23" spans="2:6" x14ac:dyDescent="0.55000000000000004">
      <c r="B23" s="1">
        <v>12</v>
      </c>
      <c r="C23" s="1">
        <f t="shared" si="0"/>
        <v>3.9079892110001238</v>
      </c>
      <c r="D23" s="9">
        <f t="shared" si="1"/>
        <v>2.6128551901504498</v>
      </c>
      <c r="E23" s="2">
        <f t="shared" si="2"/>
        <v>1.5207277743721366</v>
      </c>
      <c r="F23" s="2">
        <f t="shared" si="3"/>
        <v>0.37106748342910567</v>
      </c>
    </row>
    <row r="24" spans="2:6" x14ac:dyDescent="0.55000000000000004">
      <c r="B24" s="1">
        <v>13</v>
      </c>
      <c r="C24" s="1">
        <f t="shared" si="0"/>
        <v>3.7303031250292324</v>
      </c>
      <c r="D24" s="9">
        <f t="shared" si="1"/>
        <v>3.0412077432499505</v>
      </c>
      <c r="E24" s="2">
        <f t="shared" si="2"/>
        <v>1.3063036923280638</v>
      </c>
      <c r="F24" s="2">
        <f t="shared" si="3"/>
        <v>0.45991052641455155</v>
      </c>
    </row>
    <row r="25" spans="2:6" x14ac:dyDescent="0.55000000000000004">
      <c r="B25" s="1">
        <v>14</v>
      </c>
      <c r="C25" s="1">
        <f t="shared" si="0"/>
        <v>3.4794724448830103</v>
      </c>
      <c r="D25" s="9">
        <f t="shared" si="1"/>
        <v>3.4501775237878349</v>
      </c>
      <c r="E25" s="2">
        <f t="shared" si="2"/>
        <v>1.0874666649116549</v>
      </c>
      <c r="F25" s="2">
        <f t="shared" si="3"/>
        <v>0.55873923482288979</v>
      </c>
    </row>
    <row r="26" spans="2:6" x14ac:dyDescent="0.55000000000000004">
      <c r="B26" s="1">
        <v>15</v>
      </c>
      <c r="C26" s="1">
        <f t="shared" si="0"/>
        <v>3.1601580035448409</v>
      </c>
      <c r="D26" s="9">
        <f t="shared" si="1"/>
        <v>3.8238532297922623</v>
      </c>
      <c r="E26" s="2">
        <f t="shared" si="2"/>
        <v>0.86655351020999938</v>
      </c>
      <c r="F26" s="2">
        <f t="shared" si="3"/>
        <v>0.66697747245474104</v>
      </c>
    </row>
    <row r="27" spans="2:6" x14ac:dyDescent="0.55000000000000004">
      <c r="B27" s="1">
        <v>16</v>
      </c>
      <c r="C27" s="1">
        <f t="shared" si="0"/>
        <v>2.7807311696646755</v>
      </c>
      <c r="D27" s="9">
        <f t="shared" si="1"/>
        <v>4.1478249447838493</v>
      </c>
      <c r="E27" s="2">
        <f t="shared" si="2"/>
        <v>0.64587429839292043</v>
      </c>
      <c r="F27" s="2">
        <f t="shared" si="3"/>
        <v>0.78382879853801068</v>
      </c>
    </row>
    <row r="28" spans="2:6" x14ac:dyDescent="0.55000000000000004">
      <c r="B28" s="1">
        <v>17</v>
      </c>
      <c r="C28" s="1">
        <f t="shared" si="0"/>
        <v>2.3527939879719328</v>
      </c>
      <c r="D28" s="9">
        <f t="shared" si="1"/>
        <v>4.4100537726414748</v>
      </c>
      <c r="E28" s="2">
        <f t="shared" si="2"/>
        <v>0.42768055322443344</v>
      </c>
      <c r="F28" s="2">
        <f t="shared" si="3"/>
        <v>0.90828543458571243</v>
      </c>
    </row>
    <row r="29" spans="2:6" x14ac:dyDescent="0.55000000000000004">
      <c r="B29" s="1">
        <v>18</v>
      </c>
      <c r="C29" s="1">
        <f t="shared" si="0"/>
        <v>1.8904984808460152</v>
      </c>
      <c r="D29" s="9">
        <f t="shared" si="1"/>
        <v>4.6015954605927671</v>
      </c>
      <c r="E29" s="2">
        <f t="shared" si="2"/>
        <v>0.21413459338145557</v>
      </c>
      <c r="F29" s="2">
        <f t="shared" si="3"/>
        <v>1.0391408621562499</v>
      </c>
    </row>
    <row r="30" spans="2:6" x14ac:dyDescent="0.55000000000000004">
      <c r="B30" s="1">
        <v>19</v>
      </c>
      <c r="C30" s="1">
        <f t="shared" si="0"/>
        <v>1.4097076912093995</v>
      </c>
      <c r="D30" s="9">
        <f t="shared" si="1"/>
        <v>4.7171326719812772</v>
      </c>
      <c r="E30" s="2">
        <f t="shared" si="2"/>
        <v>7.2804779479448412E-3</v>
      </c>
      <c r="F30" s="2">
        <f t="shared" si="3"/>
        <v>1.175005865847814</v>
      </c>
    </row>
    <row r="31" spans="2:6" x14ac:dyDescent="0.55000000000000004">
      <c r="B31" s="1">
        <v>20</v>
      </c>
      <c r="C31" s="1">
        <f t="shared" si="0"/>
        <v>0.92705098312484258</v>
      </c>
      <c r="D31" s="9">
        <f t="shared" si="1"/>
        <v>4.7552825814757682</v>
      </c>
      <c r="E31" s="2">
        <f t="shared" si="2"/>
        <v>-0.19098300562505244</v>
      </c>
      <c r="F31" s="2">
        <f t="shared" si="3"/>
        <v>1.3143277802978339</v>
      </c>
    </row>
    <row r="32" spans="2:6" x14ac:dyDescent="0.55000000000000004">
      <c r="B32" s="1">
        <v>21</v>
      </c>
      <c r="C32" s="1">
        <f t="shared" si="0"/>
        <v>0.45893275368042219</v>
      </c>
      <c r="D32" s="9">
        <f t="shared" si="1"/>
        <v>4.7186605700165396</v>
      </c>
      <c r="E32" s="2">
        <f t="shared" si="2"/>
        <v>-0.37892690571415411</v>
      </c>
      <c r="F32" s="2">
        <f t="shared" si="3"/>
        <v>1.4554126481555469</v>
      </c>
    </row>
    <row r="33" spans="2:6" x14ac:dyDescent="0.55000000000000004">
      <c r="B33" s="1">
        <v>22</v>
      </c>
      <c r="C33" s="1">
        <f t="shared" si="0"/>
        <v>2.055663092148774E-2</v>
      </c>
      <c r="D33" s="9">
        <f t="shared" si="1"/>
        <v>4.6136961088434436</v>
      </c>
      <c r="E33" s="2">
        <f t="shared" si="2"/>
        <v>-0.55501385671680192</v>
      </c>
      <c r="F33" s="2">
        <f t="shared" si="3"/>
        <v>1.5964499487726991</v>
      </c>
    </row>
    <row r="34" spans="2:6" x14ac:dyDescent="0.55000000000000004">
      <c r="B34" s="1">
        <v>23</v>
      </c>
      <c r="C34" s="1">
        <f t="shared" si="0"/>
        <v>-0.37497374578664522</v>
      </c>
      <c r="D34" s="9">
        <f t="shared" si="1"/>
        <v>4.4502124793596272</v>
      </c>
      <c r="E34" s="2">
        <f t="shared" si="2"/>
        <v>-0.717916694000022</v>
      </c>
      <c r="F34" s="2">
        <f t="shared" si="3"/>
        <v>1.7355395154641002</v>
      </c>
    </row>
    <row r="35" spans="2:6" x14ac:dyDescent="0.55000000000000004">
      <c r="B35" s="1">
        <v>24</v>
      </c>
      <c r="C35" s="1">
        <f t="shared" si="0"/>
        <v>-0.71742108301137686</v>
      </c>
      <c r="D35" s="9">
        <f t="shared" si="1"/>
        <v>4.2407968008779413</v>
      </c>
      <c r="E35" s="2">
        <f t="shared" si="2"/>
        <v>-0.86653366225585071</v>
      </c>
      <c r="F35" s="2">
        <f t="shared" si="3"/>
        <v>1.8707202232922386</v>
      </c>
    </row>
    <row r="36" spans="2:6" x14ac:dyDescent="0.55000000000000004">
      <c r="B36" s="1">
        <v>25</v>
      </c>
      <c r="C36" s="1">
        <f t="shared" si="0"/>
        <v>-0.99999999999999978</v>
      </c>
      <c r="D36" s="9">
        <f t="shared" si="1"/>
        <v>4</v>
      </c>
      <c r="E36" s="2">
        <f t="shared" si="2"/>
        <v>-0.99999999999999989</v>
      </c>
      <c r="F36" s="2">
        <f t="shared" si="3"/>
        <v>1.9999999999999998</v>
      </c>
    </row>
    <row r="37" spans="2:6" x14ac:dyDescent="0.55000000000000004">
      <c r="B37" s="1">
        <v>26</v>
      </c>
      <c r="C37" s="1">
        <f t="shared" si="0"/>
        <v>-1.2197452392458847</v>
      </c>
      <c r="D37" s="9">
        <f t="shared" si="1"/>
        <v>3.7434170265482312</v>
      </c>
      <c r="E37" s="2">
        <f t="shared" si="2"/>
        <v>-1.1176957403731047</v>
      </c>
      <c r="F37" s="2">
        <f t="shared" si="3"/>
        <v>2.1213866904208474</v>
      </c>
    </row>
    <row r="38" spans="2:6" x14ac:dyDescent="0.55000000000000004">
      <c r="B38" s="1">
        <v>27</v>
      </c>
      <c r="C38" s="1">
        <f t="shared" si="0"/>
        <v>-1.3776396143010805</v>
      </c>
      <c r="D38" s="9">
        <f t="shared" si="1"/>
        <v>3.4867051311561967</v>
      </c>
      <c r="E38" s="2">
        <f t="shared" si="2"/>
        <v>-1.2192496282572396</v>
      </c>
      <c r="F38" s="2">
        <f t="shared" si="3"/>
        <v>2.2329192897938102</v>
      </c>
    </row>
    <row r="39" spans="2:6" x14ac:dyDescent="0.55000000000000004">
      <c r="B39" s="1">
        <v>28</v>
      </c>
      <c r="C39" s="1">
        <f t="shared" si="0"/>
        <v>-1.47849388576431</v>
      </c>
      <c r="D39" s="9">
        <f t="shared" si="1"/>
        <v>3.2446018969860662</v>
      </c>
      <c r="E39" s="2">
        <f t="shared" si="2"/>
        <v>-1.3045391150597005</v>
      </c>
      <c r="F39" s="2">
        <f t="shared" si="3"/>
        <v>2.3326990541420551</v>
      </c>
    </row>
    <row r="40" spans="2:6" x14ac:dyDescent="0.55000000000000004">
      <c r="B40" s="1">
        <v>29</v>
      </c>
      <c r="C40" s="1">
        <f t="shared" si="0"/>
        <v>-1.5305863436384159</v>
      </c>
      <c r="D40" s="9">
        <f t="shared" si="1"/>
        <v>3.030004719012509</v>
      </c>
      <c r="E40" s="2">
        <f t="shared" si="2"/>
        <v>-1.3736864543735732</v>
      </c>
      <c r="F40" s="2">
        <f t="shared" si="3"/>
        <v>2.4189199963589774</v>
      </c>
    </row>
    <row r="41" spans="2:6" x14ac:dyDescent="0.55000000000000004">
      <c r="B41" s="1">
        <v>30</v>
      </c>
      <c r="C41" s="1">
        <f t="shared" si="0"/>
        <v>-1.545084971874737</v>
      </c>
      <c r="D41" s="9">
        <f t="shared" si="1"/>
        <v>2.8531695488854614</v>
      </c>
      <c r="E41" s="2">
        <f t="shared" si="2"/>
        <v>-1.4270509831248419</v>
      </c>
      <c r="F41" s="2">
        <f t="shared" si="3"/>
        <v>2.4898982848827798</v>
      </c>
    </row>
    <row r="42" spans="2:6" x14ac:dyDescent="0.55000000000000004">
      <c r="B42" s="1">
        <v>31</v>
      </c>
      <c r="C42" s="1">
        <f t="shared" si="0"/>
        <v>-1.5352887302680251</v>
      </c>
      <c r="D42" s="9">
        <f t="shared" si="1"/>
        <v>2.7210792151247345</v>
      </c>
      <c r="E42" s="2">
        <f t="shared" si="2"/>
        <v>-1.4652177327907672</v>
      </c>
      <c r="F42" s="2">
        <f t="shared" si="3"/>
        <v>2.5441000777051914</v>
      </c>
    </row>
    <row r="43" spans="2:6" x14ac:dyDescent="0.55000000000000004">
      <c r="B43" s="1">
        <v>32</v>
      </c>
      <c r="C43" s="1">
        <f t="shared" ref="C43:C74" si="4">($J$10+$L$10)*COS(2*PI()*B43/100)-$J$10*COS(2*PI()*($J$10+$L$10)*B43/($J$10*100))</f>
        <v>-1.5157358516745658</v>
      </c>
      <c r="D43" s="9">
        <f t="shared" ref="D43:D74" si="5">($J$10+$L$10)*SIN(2*PI()*B43/100)-$J$10*SIN(2*PI()*($J$10+$L$10)*B43/($J$10*100))</f>
        <v>2.6370209591353895</v>
      </c>
      <c r="E43" s="2">
        <f t="shared" ref="E43:E74" si="6">($L$12-$J$12)*COS(2*PI()*B43/100)+$J$12*COS(2*PI()*($L$12-$J$12)*B43/($J$12*100))</f>
        <v>-1.4889825728788351</v>
      </c>
      <c r="F43" s="2">
        <f t="shared" ref="F43:F74" si="7">($L$12-$J$12)*SIN(2*PI()*B43/100)-$J$12*SIN(2*PI()*($L$12-$J$12)*B43/($J$12*100))</f>
        <v>2.5801673477078282</v>
      </c>
    </row>
    <row r="44" spans="2:6" x14ac:dyDescent="0.55000000000000004">
      <c r="B44" s="1">
        <v>33</v>
      </c>
      <c r="C44" s="1">
        <f t="shared" si="4"/>
        <v>-1.5012354048417884</v>
      </c>
      <c r="D44" s="9">
        <f t="shared" si="5"/>
        <v>2.6003996677094348</v>
      </c>
      <c r="E44" s="2">
        <f t="shared" si="6"/>
        <v>-1.4993341431824272</v>
      </c>
      <c r="F44" s="2">
        <f t="shared" si="7"/>
        <v>2.5969412855897422</v>
      </c>
    </row>
    <row r="45" spans="2:6" x14ac:dyDescent="0.55000000000000004">
      <c r="B45" s="1">
        <v>34</v>
      </c>
      <c r="C45" s="1">
        <f t="shared" si="4"/>
        <v>-1.5058831901672969</v>
      </c>
      <c r="D45" s="9">
        <f t="shared" si="5"/>
        <v>2.6067984592322713</v>
      </c>
      <c r="E45" s="2">
        <f t="shared" si="6"/>
        <v>-1.497432881523066</v>
      </c>
      <c r="F45" s="2">
        <f t="shared" si="7"/>
        <v>2.5934829034700497</v>
      </c>
    </row>
    <row r="46" spans="2:6" x14ac:dyDescent="0.55000000000000004">
      <c r="B46" s="1">
        <v>35</v>
      </c>
      <c r="C46" s="1">
        <f t="shared" si="4"/>
        <v>-1.5421240147949449</v>
      </c>
      <c r="D46" s="9">
        <f t="shared" si="5"/>
        <v>2.6482827252073164</v>
      </c>
      <c r="E46" s="2">
        <f t="shared" si="6"/>
        <v>-1.4845874989598937</v>
      </c>
      <c r="F46" s="2">
        <f t="shared" si="7"/>
        <v>2.5690905050450485</v>
      </c>
    </row>
    <row r="47" spans="2:6" x14ac:dyDescent="0.55000000000000004">
      <c r="B47" s="1">
        <v>36</v>
      </c>
      <c r="C47" s="1">
        <f t="shared" si="4"/>
        <v>-1.6199194731065076</v>
      </c>
      <c r="D47" s="9">
        <f t="shared" si="5"/>
        <v>2.7139284184184791</v>
      </c>
      <c r="E47" s="2">
        <f t="shared" si="6"/>
        <v>-1.4622292940831041</v>
      </c>
      <c r="F47" s="2">
        <f t="shared" si="7"/>
        <v>2.5233137362802673</v>
      </c>
    </row>
    <row r="48" spans="2:6" x14ac:dyDescent="0.55000000000000004">
      <c r="B48" s="1">
        <v>37</v>
      </c>
      <c r="C48" s="1">
        <f t="shared" si="4"/>
        <v>-1.7460737224002769</v>
      </c>
      <c r="D48" s="9">
        <f t="shared" si="5"/>
        <v>2.790541276121342</v>
      </c>
      <c r="E48" s="2">
        <f t="shared" si="6"/>
        <v>-1.4318847313866907</v>
      </c>
      <c r="F48" s="2">
        <f t="shared" si="7"/>
        <v>2.4559639832710944</v>
      </c>
    </row>
    <row r="49" spans="2:6" x14ac:dyDescent="0.55000000000000004">
      <c r="B49" s="1">
        <v>38</v>
      </c>
      <c r="C49" s="1">
        <f t="shared" si="4"/>
        <v>-1.9237598083711673</v>
      </c>
      <c r="D49" s="9">
        <f t="shared" si="5"/>
        <v>2.8635216572790587</v>
      </c>
      <c r="E49" s="2">
        <f t="shared" si="6"/>
        <v>-1.3951467353135099</v>
      </c>
      <c r="F49" s="2">
        <f t="shared" si="7"/>
        <v>2.3671209402856492</v>
      </c>
    </row>
    <row r="50" spans="2:6" x14ac:dyDescent="0.55000000000000004">
      <c r="B50" s="1">
        <v>39</v>
      </c>
      <c r="C50" s="1">
        <f t="shared" si="4"/>
        <v>-2.1522764852149048</v>
      </c>
      <c r="D50" s="9">
        <f t="shared" si="5"/>
        <v>2.9178205116794365</v>
      </c>
      <c r="E50" s="2">
        <f t="shared" si="6"/>
        <v>-1.3536451709658541</v>
      </c>
      <c r="F50" s="2">
        <f t="shared" si="7"/>
        <v>2.2571352302260683</v>
      </c>
    </row>
    <row r="51" spans="2:6" x14ac:dyDescent="0.55000000000000004">
      <c r="B51" s="1">
        <v>40</v>
      </c>
      <c r="C51" s="1">
        <f t="shared" si="4"/>
        <v>-2.4270509831248415</v>
      </c>
      <c r="D51" s="9">
        <f t="shared" si="5"/>
        <v>2.9389262614623659</v>
      </c>
      <c r="E51" s="2">
        <f t="shared" si="6"/>
        <v>-1.3090169943749475</v>
      </c>
      <c r="F51" s="2">
        <f t="shared" si="7"/>
        <v>2.1266270208801004</v>
      </c>
    </row>
    <row r="52" spans="2:6" x14ac:dyDescent="0.55000000000000004">
      <c r="B52" s="1">
        <v>41</v>
      </c>
      <c r="C52" s="1">
        <f t="shared" si="4"/>
        <v>-2.7398877122593683</v>
      </c>
      <c r="D52" s="9">
        <f t="shared" si="5"/>
        <v>2.9138204226917761</v>
      </c>
      <c r="E52" s="2">
        <f t="shared" si="6"/>
        <v>-1.2628765594389579</v>
      </c>
      <c r="F52" s="2">
        <f t="shared" si="7"/>
        <v>1.976480642424014</v>
      </c>
    </row>
    <row r="53" spans="2:6" x14ac:dyDescent="0.55000000000000004">
      <c r="B53" s="1">
        <v>42</v>
      </c>
      <c r="C53" s="1">
        <f t="shared" si="4"/>
        <v>-3.0794474286103819</v>
      </c>
      <c r="D53" s="9">
        <f t="shared" si="5"/>
        <v>2.8318417488728804</v>
      </c>
      <c r="E53" s="2">
        <f t="shared" si="6"/>
        <v>-1.2167865651087304</v>
      </c>
      <c r="F53" s="2">
        <f t="shared" si="7"/>
        <v>1.8078352737054453</v>
      </c>
    </row>
    <row r="54" spans="2:6" x14ac:dyDescent="0.55000000000000004">
      <c r="B54" s="1">
        <v>43</v>
      </c>
      <c r="C54" s="1">
        <f t="shared" si="4"/>
        <v>-3.4319268952783517</v>
      </c>
      <c r="D54" s="9">
        <f t="shared" si="5"/>
        <v>2.6854044169889799</v>
      </c>
      <c r="E54" s="2">
        <f t="shared" si="6"/>
        <v>-1.1722301151833494</v>
      </c>
      <c r="F54" s="2">
        <f t="shared" si="7"/>
        <v>1.6220718259059352</v>
      </c>
    </row>
    <row r="55" spans="2:6" x14ac:dyDescent="0.55000000000000004">
      <c r="B55" s="1">
        <v>44</v>
      </c>
      <c r="C55" s="1">
        <f t="shared" si="4"/>
        <v>-3.781896463082318</v>
      </c>
      <c r="D55" s="9">
        <f t="shared" si="5"/>
        <v>2.4705249391669843</v>
      </c>
      <c r="E55" s="2">
        <f t="shared" si="6"/>
        <v>-1.1305843443550914</v>
      </c>
      <c r="F55" s="2">
        <f t="shared" si="7"/>
        <v>1.4207962112980452</v>
      </c>
    </row>
    <row r="56" spans="2:6" x14ac:dyDescent="0.55000000000000004">
      <c r="B56" s="1">
        <v>45</v>
      </c>
      <c r="C56" s="1">
        <f t="shared" si="4"/>
        <v>-4.1132430595555611</v>
      </c>
      <c r="D56" s="9">
        <f t="shared" si="5"/>
        <v>2.1871244937949439</v>
      </c>
      <c r="E56" s="2">
        <f t="shared" si="6"/>
        <v>-1.0930960382153598</v>
      </c>
      <c r="F56" s="2">
        <f t="shared" si="7"/>
        <v>1.2058192410423683</v>
      </c>
    </row>
    <row r="57" spans="2:6" x14ac:dyDescent="0.55000000000000004">
      <c r="B57" s="1">
        <v>46</v>
      </c>
      <c r="C57" s="1">
        <f t="shared" si="4"/>
        <v>-4.4101594394935191</v>
      </c>
      <c r="D57" s="9">
        <f t="shared" si="5"/>
        <v>1.8390874741614369</v>
      </c>
      <c r="E57" s="2">
        <f t="shared" si="6"/>
        <v>-1.0608596422133987</v>
      </c>
      <c r="F57" s="2">
        <f t="shared" si="7"/>
        <v>0.97913344843142658</v>
      </c>
    </row>
    <row r="58" spans="2:6" x14ac:dyDescent="0.55000000000000004">
      <c r="B58" s="1">
        <v>47</v>
      </c>
      <c r="C58" s="1">
        <f t="shared" si="4"/>
        <v>-4.6581176303361662</v>
      </c>
      <c r="D58" s="9">
        <f t="shared" si="5"/>
        <v>1.4340723642715867</v>
      </c>
      <c r="E58" s="2">
        <f t="shared" si="6"/>
        <v>-1.0347980155691259</v>
      </c>
      <c r="F58" s="2">
        <f t="shared" si="7"/>
        <v>0.74288718185612701</v>
      </c>
    </row>
    <row r="59" spans="2:6" x14ac:dyDescent="0.55000000000000004">
      <c r="B59" s="1">
        <v>48</v>
      </c>
      <c r="C59" s="1">
        <f t="shared" si="4"/>
        <v>-4.8447654853017745</v>
      </c>
      <c r="D59" s="9">
        <f t="shared" si="5"/>
        <v>0.98308660835893447</v>
      </c>
      <c r="E59" s="2">
        <f t="shared" si="6"/>
        <v>-1.0156462415003245</v>
      </c>
      <c r="F59" s="2">
        <f t="shared" si="7"/>
        <v>0.49935635429346442</v>
      </c>
    </row>
    <row r="60" spans="2:6" x14ac:dyDescent="0.55000000000000004">
      <c r="B60" s="1">
        <v>49</v>
      </c>
      <c r="C60" s="1">
        <f t="shared" si="4"/>
        <v>-4.9606900748417173</v>
      </c>
      <c r="D60" s="9">
        <f t="shared" si="5"/>
        <v>0.49985196528210996</v>
      </c>
      <c r="E60" s="2">
        <f t="shared" si="6"/>
        <v>-1.0039387555420654</v>
      </c>
      <c r="F60" s="2">
        <f t="shared" si="7"/>
        <v>0.25091427262293181</v>
      </c>
    </row>
    <row r="61" spans="2:6" x14ac:dyDescent="0.55000000000000004">
      <c r="B61" s="1">
        <v>50</v>
      </c>
      <c r="C61" s="1">
        <f t="shared" si="4"/>
        <v>-5</v>
      </c>
      <c r="D61" s="9">
        <f t="shared" si="5"/>
        <v>9.8011876392689601E-16</v>
      </c>
      <c r="E61" s="2">
        <f t="shared" si="6"/>
        <v>-1</v>
      </c>
      <c r="F61" s="2">
        <f t="shared" si="7"/>
        <v>4.90059381963448E-16</v>
      </c>
    </row>
    <row r="62" spans="2:6" x14ac:dyDescent="0.55000000000000004">
      <c r="B62" s="1">
        <v>51</v>
      </c>
      <c r="C62" s="1">
        <f t="shared" si="4"/>
        <v>-4.9606900748417173</v>
      </c>
      <c r="D62" s="9">
        <f t="shared" si="5"/>
        <v>-0.49985196528210807</v>
      </c>
      <c r="E62" s="2">
        <f t="shared" si="6"/>
        <v>-1.0039387555420651</v>
      </c>
      <c r="F62" s="2">
        <f t="shared" si="7"/>
        <v>-0.25091427262293087</v>
      </c>
    </row>
    <row r="63" spans="2:6" x14ac:dyDescent="0.55000000000000004">
      <c r="B63" s="1">
        <v>52</v>
      </c>
      <c r="C63" s="1">
        <f t="shared" si="4"/>
        <v>-4.8447654853017745</v>
      </c>
      <c r="D63" s="9">
        <f t="shared" si="5"/>
        <v>-0.98308660835893258</v>
      </c>
      <c r="E63" s="2">
        <f t="shared" si="6"/>
        <v>-1.0156462415003247</v>
      </c>
      <c r="F63" s="2">
        <f t="shared" si="7"/>
        <v>-0.49935635429346348</v>
      </c>
    </row>
    <row r="64" spans="2:6" x14ac:dyDescent="0.55000000000000004">
      <c r="B64" s="1">
        <v>53</v>
      </c>
      <c r="C64" s="1">
        <f t="shared" si="4"/>
        <v>-4.6581176303361653</v>
      </c>
      <c r="D64" s="9">
        <f t="shared" si="5"/>
        <v>-1.434072364271588</v>
      </c>
      <c r="E64" s="2">
        <f t="shared" si="6"/>
        <v>-1.0347980155691259</v>
      </c>
      <c r="F64" s="2">
        <f t="shared" si="7"/>
        <v>-0.74288718185612779</v>
      </c>
    </row>
    <row r="65" spans="2:6" x14ac:dyDescent="0.55000000000000004">
      <c r="B65" s="1">
        <v>54</v>
      </c>
      <c r="C65" s="1">
        <f t="shared" si="4"/>
        <v>-4.4101594394935217</v>
      </c>
      <c r="D65" s="9">
        <f t="shared" si="5"/>
        <v>-1.8390874741614329</v>
      </c>
      <c r="E65" s="2">
        <f t="shared" si="6"/>
        <v>-1.0608596422133987</v>
      </c>
      <c r="F65" s="2">
        <f t="shared" si="7"/>
        <v>-0.97913344843142402</v>
      </c>
    </row>
    <row r="66" spans="2:6" x14ac:dyDescent="0.55000000000000004">
      <c r="B66" s="1">
        <v>55</v>
      </c>
      <c r="C66" s="1">
        <f t="shared" si="4"/>
        <v>-4.1132430595555629</v>
      </c>
      <c r="D66" s="9">
        <f t="shared" si="5"/>
        <v>-2.1871244937949426</v>
      </c>
      <c r="E66" s="2">
        <f t="shared" si="6"/>
        <v>-1.0930960382153598</v>
      </c>
      <c r="F66" s="2">
        <f t="shared" si="7"/>
        <v>-1.2058192410423674</v>
      </c>
    </row>
    <row r="67" spans="2:6" x14ac:dyDescent="0.55000000000000004">
      <c r="B67" s="1">
        <v>56</v>
      </c>
      <c r="C67" s="1">
        <f t="shared" si="4"/>
        <v>-3.7818964630823193</v>
      </c>
      <c r="D67" s="9">
        <f t="shared" si="5"/>
        <v>-2.4705249391669835</v>
      </c>
      <c r="E67" s="2">
        <f t="shared" si="6"/>
        <v>-1.1305843443550914</v>
      </c>
      <c r="F67" s="2">
        <f t="shared" si="7"/>
        <v>-1.4207962112980446</v>
      </c>
    </row>
    <row r="68" spans="2:6" x14ac:dyDescent="0.55000000000000004">
      <c r="B68" s="1">
        <v>57</v>
      </c>
      <c r="C68" s="1">
        <f t="shared" si="4"/>
        <v>-3.4319268952783557</v>
      </c>
      <c r="D68" s="9">
        <f t="shared" si="5"/>
        <v>-2.6854044169889781</v>
      </c>
      <c r="E68" s="2">
        <f t="shared" si="6"/>
        <v>-1.172230115183349</v>
      </c>
      <c r="F68" s="2">
        <f t="shared" si="7"/>
        <v>-1.6220718259059332</v>
      </c>
    </row>
    <row r="69" spans="2:6" x14ac:dyDescent="0.55000000000000004">
      <c r="B69" s="1">
        <v>58</v>
      </c>
      <c r="C69" s="1">
        <f t="shared" si="4"/>
        <v>-3.079447428610381</v>
      </c>
      <c r="D69" s="9">
        <f t="shared" si="5"/>
        <v>-2.8318417488728809</v>
      </c>
      <c r="E69" s="2">
        <f t="shared" si="6"/>
        <v>-1.2167865651087304</v>
      </c>
      <c r="F69" s="2">
        <f t="shared" si="7"/>
        <v>-1.8078352737054459</v>
      </c>
    </row>
    <row r="70" spans="2:6" x14ac:dyDescent="0.55000000000000004">
      <c r="B70" s="1">
        <v>59</v>
      </c>
      <c r="C70" s="1">
        <f t="shared" si="4"/>
        <v>-2.7398877122593719</v>
      </c>
      <c r="D70" s="9">
        <f t="shared" si="5"/>
        <v>-2.9138204226917757</v>
      </c>
      <c r="E70" s="2">
        <f t="shared" si="6"/>
        <v>-1.2628765594389573</v>
      </c>
      <c r="F70" s="2">
        <f t="shared" si="7"/>
        <v>-1.9764806424240122</v>
      </c>
    </row>
    <row r="71" spans="2:6" x14ac:dyDescent="0.55000000000000004">
      <c r="B71" s="1">
        <v>60</v>
      </c>
      <c r="C71" s="1">
        <f t="shared" si="4"/>
        <v>-2.427050983124845</v>
      </c>
      <c r="D71" s="9">
        <f t="shared" si="5"/>
        <v>-2.9389262614623659</v>
      </c>
      <c r="E71" s="2">
        <f t="shared" si="6"/>
        <v>-1.309016994374947</v>
      </c>
      <c r="F71" s="2">
        <f t="shared" si="7"/>
        <v>-2.1266270208800986</v>
      </c>
    </row>
    <row r="72" spans="2:6" x14ac:dyDescent="0.55000000000000004">
      <c r="B72" s="1">
        <v>61</v>
      </c>
      <c r="C72" s="1">
        <f t="shared" si="4"/>
        <v>-2.1522764852149057</v>
      </c>
      <c r="D72" s="9">
        <f t="shared" si="5"/>
        <v>-2.9178205116794369</v>
      </c>
      <c r="E72" s="2">
        <f t="shared" si="6"/>
        <v>-1.3536451709658537</v>
      </c>
      <c r="F72" s="2">
        <f t="shared" si="7"/>
        <v>-2.2571352302260679</v>
      </c>
    </row>
    <row r="73" spans="2:6" x14ac:dyDescent="0.55000000000000004">
      <c r="B73" s="1">
        <v>62</v>
      </c>
      <c r="C73" s="1">
        <f t="shared" si="4"/>
        <v>-1.9237598083711696</v>
      </c>
      <c r="D73" s="9">
        <f t="shared" si="5"/>
        <v>-2.8635216572790596</v>
      </c>
      <c r="E73" s="2">
        <f t="shared" si="6"/>
        <v>-1.3951467353135094</v>
      </c>
      <c r="F73" s="2">
        <f t="shared" si="7"/>
        <v>-2.3671209402856483</v>
      </c>
    </row>
    <row r="74" spans="2:6" x14ac:dyDescent="0.55000000000000004">
      <c r="B74" s="1">
        <v>63</v>
      </c>
      <c r="C74" s="1">
        <f t="shared" si="4"/>
        <v>-1.7460737224002767</v>
      </c>
      <c r="D74" s="9">
        <f t="shared" si="5"/>
        <v>-2.7905412761213415</v>
      </c>
      <c r="E74" s="2">
        <f t="shared" si="6"/>
        <v>-1.4318847313866909</v>
      </c>
      <c r="F74" s="2">
        <f t="shared" si="7"/>
        <v>-2.4559639832710944</v>
      </c>
    </row>
    <row r="75" spans="2:6" x14ac:dyDescent="0.55000000000000004">
      <c r="B75" s="1">
        <v>64</v>
      </c>
      <c r="C75" s="1">
        <f t="shared" ref="C75:C106" si="8">($J$10+$L$10)*COS(2*PI()*B75/100)-$J$10*COS(2*PI()*($J$10+$L$10)*B75/($J$10*100))</f>
        <v>-1.619919473106507</v>
      </c>
      <c r="D75" s="9">
        <f t="shared" ref="D75:D111" si="9">($J$10+$L$10)*SIN(2*PI()*B75/100)-$J$10*SIN(2*PI()*($J$10+$L$10)*B75/($J$10*100))</f>
        <v>-2.7139284184184786</v>
      </c>
      <c r="E75" s="2">
        <f t="shared" ref="E75:E111" si="10">($L$12-$J$12)*COS(2*PI()*B75/100)+$J$12*COS(2*PI()*($L$12-$J$12)*B75/($J$12*100))</f>
        <v>-1.4622292940831041</v>
      </c>
      <c r="F75" s="2">
        <f t="shared" ref="F75:F111" si="11">($L$12-$J$12)*SIN(2*PI()*B75/100)-$J$12*SIN(2*PI()*($L$12-$J$12)*B75/($J$12*100))</f>
        <v>-2.5233137362802673</v>
      </c>
    </row>
    <row r="76" spans="2:6" x14ac:dyDescent="0.55000000000000004">
      <c r="B76" s="1">
        <v>65</v>
      </c>
      <c r="C76" s="1">
        <f t="shared" si="8"/>
        <v>-1.5421240147949451</v>
      </c>
      <c r="D76" s="9">
        <f t="shared" si="9"/>
        <v>-2.6482827252073169</v>
      </c>
      <c r="E76" s="2">
        <f t="shared" si="10"/>
        <v>-1.4845874989598937</v>
      </c>
      <c r="F76" s="2">
        <f t="shared" si="11"/>
        <v>-2.5690905050450485</v>
      </c>
    </row>
    <row r="77" spans="2:6" x14ac:dyDescent="0.55000000000000004">
      <c r="B77" s="1">
        <v>66</v>
      </c>
      <c r="C77" s="1">
        <f t="shared" si="8"/>
        <v>-1.5058831901672969</v>
      </c>
      <c r="D77" s="9">
        <f t="shared" si="9"/>
        <v>-2.6067984592322713</v>
      </c>
      <c r="E77" s="2">
        <f t="shared" si="10"/>
        <v>-1.497432881523066</v>
      </c>
      <c r="F77" s="2">
        <f t="shared" si="11"/>
        <v>-2.5934829034700497</v>
      </c>
    </row>
    <row r="78" spans="2:6" x14ac:dyDescent="0.55000000000000004">
      <c r="B78" s="1">
        <v>67</v>
      </c>
      <c r="C78" s="1">
        <f t="shared" si="8"/>
        <v>-1.5012354048417884</v>
      </c>
      <c r="D78" s="9">
        <f t="shared" si="9"/>
        <v>-2.6003996677094348</v>
      </c>
      <c r="E78" s="2">
        <f t="shared" si="10"/>
        <v>-1.4993341431824272</v>
      </c>
      <c r="F78" s="2">
        <f t="shared" si="11"/>
        <v>-2.5969412855897422</v>
      </c>
    </row>
    <row r="79" spans="2:6" x14ac:dyDescent="0.55000000000000004">
      <c r="B79" s="1">
        <v>68</v>
      </c>
      <c r="C79" s="1">
        <f t="shared" si="8"/>
        <v>-1.5157358516745663</v>
      </c>
      <c r="D79" s="9">
        <f t="shared" si="9"/>
        <v>-2.6370209591353904</v>
      </c>
      <c r="E79" s="2">
        <f t="shared" si="10"/>
        <v>-1.4889825728788348</v>
      </c>
      <c r="F79" s="2">
        <f t="shared" si="11"/>
        <v>-2.5801673477078282</v>
      </c>
    </row>
    <row r="80" spans="2:6" x14ac:dyDescent="0.55000000000000004">
      <c r="B80" s="1">
        <v>69</v>
      </c>
      <c r="C80" s="1">
        <f t="shared" si="8"/>
        <v>-1.5352887302680254</v>
      </c>
      <c r="D80" s="9">
        <f t="shared" si="9"/>
        <v>-2.7210792151247345</v>
      </c>
      <c r="E80" s="2">
        <f t="shared" si="10"/>
        <v>-1.4652177327907674</v>
      </c>
      <c r="F80" s="2">
        <f t="shared" si="11"/>
        <v>-2.5441000777051914</v>
      </c>
    </row>
    <row r="81" spans="2:6" x14ac:dyDescent="0.55000000000000004">
      <c r="B81" s="1">
        <v>70</v>
      </c>
      <c r="C81" s="1">
        <f t="shared" si="8"/>
        <v>-1.545084971874737</v>
      </c>
      <c r="D81" s="9">
        <f t="shared" si="9"/>
        <v>-2.8531695488854605</v>
      </c>
      <c r="E81" s="2">
        <f t="shared" si="10"/>
        <v>-1.4270509831248424</v>
      </c>
      <c r="F81" s="2">
        <f t="shared" si="11"/>
        <v>-2.4898982848827806</v>
      </c>
    </row>
    <row r="82" spans="2:6" x14ac:dyDescent="0.55000000000000004">
      <c r="B82" s="1">
        <v>71</v>
      </c>
      <c r="C82" s="1">
        <f t="shared" si="8"/>
        <v>-1.5305863436384155</v>
      </c>
      <c r="D82" s="9">
        <f t="shared" si="9"/>
        <v>-3.0300047190125103</v>
      </c>
      <c r="E82" s="2">
        <f t="shared" si="10"/>
        <v>-1.3736864543735727</v>
      </c>
      <c r="F82" s="2">
        <f t="shared" si="11"/>
        <v>-2.4189199963589769</v>
      </c>
    </row>
    <row r="83" spans="2:6" x14ac:dyDescent="0.55000000000000004">
      <c r="B83" s="1">
        <v>72</v>
      </c>
      <c r="C83" s="1">
        <f t="shared" si="8"/>
        <v>-1.4784938857643102</v>
      </c>
      <c r="D83" s="9">
        <f t="shared" si="9"/>
        <v>-3.2446018969860662</v>
      </c>
      <c r="E83" s="2">
        <f t="shared" si="10"/>
        <v>-1.3045391150597008</v>
      </c>
      <c r="F83" s="2">
        <f t="shared" si="11"/>
        <v>-2.3326990541420556</v>
      </c>
    </row>
    <row r="84" spans="2:6" x14ac:dyDescent="0.55000000000000004">
      <c r="B84" s="1">
        <v>73</v>
      </c>
      <c r="C84" s="1">
        <f t="shared" si="8"/>
        <v>-1.3776396143010814</v>
      </c>
      <c r="D84" s="9">
        <f t="shared" si="9"/>
        <v>-3.4867051311561945</v>
      </c>
      <c r="E84" s="2">
        <f t="shared" si="10"/>
        <v>-1.21924962825724</v>
      </c>
      <c r="F84" s="2">
        <f t="shared" si="11"/>
        <v>-2.232919289793811</v>
      </c>
    </row>
    <row r="85" spans="2:6" x14ac:dyDescent="0.55000000000000004">
      <c r="B85" s="1">
        <v>74</v>
      </c>
      <c r="C85" s="1">
        <f t="shared" si="8"/>
        <v>-1.2197452392458841</v>
      </c>
      <c r="D85" s="9">
        <f t="shared" si="9"/>
        <v>-3.7434170265482321</v>
      </c>
      <c r="E85" s="2">
        <f t="shared" si="10"/>
        <v>-1.1176957403731043</v>
      </c>
      <c r="F85" s="2">
        <f t="shared" si="11"/>
        <v>-2.1213866904208469</v>
      </c>
    </row>
    <row r="86" spans="2:6" x14ac:dyDescent="0.55000000000000004">
      <c r="B86" s="1">
        <v>75</v>
      </c>
      <c r="C86" s="1">
        <f t="shared" si="8"/>
        <v>-1.0000000000000007</v>
      </c>
      <c r="D86" s="9">
        <f t="shared" si="9"/>
        <v>-3.9999999999999991</v>
      </c>
      <c r="E86" s="2">
        <f t="shared" si="10"/>
        <v>-1.0000000000000004</v>
      </c>
      <c r="F86" s="2">
        <f t="shared" si="11"/>
        <v>-2.0000000000000004</v>
      </c>
    </row>
    <row r="87" spans="2:6" x14ac:dyDescent="0.55000000000000004">
      <c r="B87" s="1">
        <v>76</v>
      </c>
      <c r="C87" s="1">
        <f t="shared" si="8"/>
        <v>-0.7174210830113803</v>
      </c>
      <c r="D87" s="9">
        <f t="shared" si="9"/>
        <v>-4.2407968008779386</v>
      </c>
      <c r="E87" s="2">
        <f t="shared" si="10"/>
        <v>-0.86653366225585238</v>
      </c>
      <c r="F87" s="2">
        <f t="shared" si="11"/>
        <v>-1.87072022329224</v>
      </c>
    </row>
    <row r="88" spans="2:6" x14ac:dyDescent="0.55000000000000004">
      <c r="B88" s="1">
        <v>77</v>
      </c>
      <c r="C88" s="1">
        <f t="shared" si="8"/>
        <v>-0.37497374578664666</v>
      </c>
      <c r="D88" s="9">
        <f t="shared" si="9"/>
        <v>-4.4502124793596263</v>
      </c>
      <c r="E88" s="2">
        <f t="shared" si="10"/>
        <v>-0.71791669400002256</v>
      </c>
      <c r="F88" s="2">
        <f t="shared" si="11"/>
        <v>-1.7355395154641009</v>
      </c>
    </row>
    <row r="89" spans="2:6" x14ac:dyDescent="0.55000000000000004">
      <c r="B89" s="1">
        <v>78</v>
      </c>
      <c r="C89" s="1">
        <f t="shared" si="8"/>
        <v>2.055663092148452E-2</v>
      </c>
      <c r="D89" s="9">
        <f t="shared" si="9"/>
        <v>-4.6136961088434427</v>
      </c>
      <c r="E89" s="2">
        <f t="shared" si="10"/>
        <v>-0.55501385671680314</v>
      </c>
      <c r="F89" s="2">
        <f t="shared" si="11"/>
        <v>-1.5964499487727002</v>
      </c>
    </row>
    <row r="90" spans="2:6" x14ac:dyDescent="0.55000000000000004">
      <c r="B90" s="1">
        <v>79</v>
      </c>
      <c r="C90" s="1">
        <f t="shared" si="8"/>
        <v>0.45893275368042363</v>
      </c>
      <c r="D90" s="9">
        <f t="shared" si="9"/>
        <v>-4.7186605700165396</v>
      </c>
      <c r="E90" s="2">
        <f t="shared" si="10"/>
        <v>-0.37892690571415361</v>
      </c>
      <c r="F90" s="2">
        <f t="shared" si="11"/>
        <v>-1.4554126481555465</v>
      </c>
    </row>
    <row r="91" spans="2:6" x14ac:dyDescent="0.55000000000000004">
      <c r="B91" s="1">
        <v>80</v>
      </c>
      <c r="C91" s="1">
        <f t="shared" si="8"/>
        <v>0.9270509831248408</v>
      </c>
      <c r="D91" s="9">
        <f t="shared" si="9"/>
        <v>-4.7552825814757682</v>
      </c>
      <c r="E91" s="2">
        <f t="shared" si="10"/>
        <v>-0.19098300562505321</v>
      </c>
      <c r="F91" s="2">
        <f t="shared" si="11"/>
        <v>-1.3143277802978344</v>
      </c>
    </row>
    <row r="92" spans="2:6" x14ac:dyDescent="0.55000000000000004">
      <c r="B92" s="1">
        <v>81</v>
      </c>
      <c r="C92" s="1">
        <f t="shared" si="8"/>
        <v>1.4097076912093942</v>
      </c>
      <c r="D92" s="9">
        <f t="shared" si="9"/>
        <v>-4.7171326719812781</v>
      </c>
      <c r="E92" s="2">
        <f t="shared" si="10"/>
        <v>7.2804779479425097E-3</v>
      </c>
      <c r="F92" s="2">
        <f t="shared" si="11"/>
        <v>-1.1750058658478153</v>
      </c>
    </row>
    <row r="93" spans="2:6" x14ac:dyDescent="0.55000000000000004">
      <c r="B93" s="1">
        <v>82</v>
      </c>
      <c r="C93" s="1">
        <f t="shared" si="8"/>
        <v>1.8904984808460084</v>
      </c>
      <c r="D93" s="9">
        <f t="shared" si="9"/>
        <v>-4.6015954605927689</v>
      </c>
      <c r="E93" s="2">
        <f t="shared" si="10"/>
        <v>0.21413459338145258</v>
      </c>
      <c r="F93" s="2">
        <f t="shared" si="11"/>
        <v>-1.0391408621562519</v>
      </c>
    </row>
    <row r="94" spans="2:6" x14ac:dyDescent="0.55000000000000004">
      <c r="B94" s="1">
        <v>83</v>
      </c>
      <c r="C94" s="1">
        <f t="shared" si="8"/>
        <v>2.3527939879719373</v>
      </c>
      <c r="D94" s="9">
        <f t="shared" si="9"/>
        <v>-4.4100537726414721</v>
      </c>
      <c r="E94" s="2">
        <f t="shared" si="10"/>
        <v>0.42768055322443566</v>
      </c>
      <c r="F94" s="2">
        <f t="shared" si="11"/>
        <v>-0.90828543458571109</v>
      </c>
    </row>
    <row r="95" spans="2:6" x14ac:dyDescent="0.55000000000000004">
      <c r="B95" s="1">
        <v>84</v>
      </c>
      <c r="C95" s="1">
        <f t="shared" si="8"/>
        <v>2.7807311696646773</v>
      </c>
      <c r="D95" s="9">
        <f t="shared" si="9"/>
        <v>-4.1478249447838484</v>
      </c>
      <c r="E95" s="2">
        <f t="shared" si="10"/>
        <v>0.6458742983929211</v>
      </c>
      <c r="F95" s="2">
        <f t="shared" si="11"/>
        <v>-0.78382879853801024</v>
      </c>
    </row>
    <row r="96" spans="2:6" x14ac:dyDescent="0.55000000000000004">
      <c r="B96" s="1">
        <v>85</v>
      </c>
      <c r="C96" s="1">
        <f t="shared" si="8"/>
        <v>3.1601580035448387</v>
      </c>
      <c r="D96" s="9">
        <f t="shared" si="9"/>
        <v>-3.8238532297922641</v>
      </c>
      <c r="E96" s="2">
        <f t="shared" si="10"/>
        <v>0.86655351020999793</v>
      </c>
      <c r="F96" s="2">
        <f t="shared" si="11"/>
        <v>-0.6669774724547417</v>
      </c>
    </row>
    <row r="97" spans="2:6" x14ac:dyDescent="0.55000000000000004">
      <c r="B97" s="1">
        <v>86</v>
      </c>
      <c r="C97" s="1">
        <f t="shared" si="8"/>
        <v>3.4794724448830077</v>
      </c>
      <c r="D97" s="9">
        <f t="shared" si="9"/>
        <v>-3.4501775237878385</v>
      </c>
      <c r="E97" s="2">
        <f t="shared" si="10"/>
        <v>1.0874666649116529</v>
      </c>
      <c r="F97" s="2">
        <f t="shared" si="11"/>
        <v>-0.55873923482289067</v>
      </c>
    </row>
    <row r="98" spans="2:6" x14ac:dyDescent="0.55000000000000004">
      <c r="B98" s="1">
        <v>87</v>
      </c>
      <c r="C98" s="1">
        <f t="shared" si="8"/>
        <v>3.7303031250292289</v>
      </c>
      <c r="D98" s="9">
        <f t="shared" si="9"/>
        <v>-3.0412077432499562</v>
      </c>
      <c r="E98" s="2">
        <f t="shared" si="10"/>
        <v>1.3063036923280607</v>
      </c>
      <c r="F98" s="2">
        <f t="shared" si="11"/>
        <v>-0.45991052641455277</v>
      </c>
    </row>
    <row r="99" spans="2:6" x14ac:dyDescent="0.55000000000000004">
      <c r="B99" s="1">
        <v>88</v>
      </c>
      <c r="C99" s="1">
        <f t="shared" si="8"/>
        <v>3.9079892110001229</v>
      </c>
      <c r="D99" s="9">
        <f t="shared" si="9"/>
        <v>-2.6128551901504533</v>
      </c>
      <c r="E99" s="2">
        <f t="shared" si="10"/>
        <v>1.520727774372135</v>
      </c>
      <c r="F99" s="2">
        <f t="shared" si="11"/>
        <v>-0.37106748342910634</v>
      </c>
    </row>
    <row r="100" spans="2:6" x14ac:dyDescent="0.55000000000000004">
      <c r="B100" s="1">
        <v>89</v>
      </c>
      <c r="C100" s="1">
        <f t="shared" si="8"/>
        <v>4.0118294569914088</v>
      </c>
      <c r="D100" s="9">
        <f t="shared" si="9"/>
        <v>-2.1815714063100802</v>
      </c>
      <c r="E100" s="2">
        <f t="shared" si="10"/>
        <v>1.7284078001373036</v>
      </c>
      <c r="F100" s="2">
        <f t="shared" si="11"/>
        <v>-0.29256072876869066</v>
      </c>
    </row>
    <row r="101" spans="2:6" x14ac:dyDescent="0.55000000000000004">
      <c r="B101" s="1">
        <v>90</v>
      </c>
      <c r="C101" s="1">
        <f t="shared" si="8"/>
        <v>4.0450849718747373</v>
      </c>
      <c r="D101" s="9">
        <f t="shared" si="9"/>
        <v>-1.763355756877421</v>
      </c>
      <c r="E101" s="2">
        <f t="shared" si="10"/>
        <v>1.9270509831248417</v>
      </c>
      <c r="F101" s="2">
        <f t="shared" si="11"/>
        <v>-0.22451398828979297</v>
      </c>
    </row>
    <row r="102" spans="2:6" x14ac:dyDescent="0.55000000000000004">
      <c r="B102" s="1">
        <v>91</v>
      </c>
      <c r="C102" s="1">
        <f t="shared" si="8"/>
        <v>4.0147356917567505</v>
      </c>
      <c r="D102" s="9">
        <f t="shared" si="9"/>
        <v>-1.3727939371402007</v>
      </c>
      <c r="E102" s="2">
        <f t="shared" si="10"/>
        <v>2.1144351425691013</v>
      </c>
      <c r="F102" s="2">
        <f t="shared" si="11"/>
        <v>-0.16682653749197418</v>
      </c>
    </row>
    <row r="103" spans="2:6" x14ac:dyDescent="0.55000000000000004">
      <c r="B103" s="1">
        <v>92</v>
      </c>
      <c r="C103" s="1">
        <f t="shared" si="8"/>
        <v>3.9310060117405285</v>
      </c>
      <c r="D103" s="9">
        <f t="shared" si="9"/>
        <v>-1.0221876439408466</v>
      </c>
      <c r="E103" s="2">
        <f t="shared" si="10"/>
        <v>2.2884401550667213</v>
      </c>
      <c r="F103" s="2">
        <f t="shared" si="11"/>
        <v>-0.11917942270141613</v>
      </c>
    </row>
    <row r="104" spans="2:6" x14ac:dyDescent="0.55000000000000004">
      <c r="B104" s="1">
        <v>93</v>
      </c>
      <c r="C104" s="1">
        <f t="shared" si="8"/>
        <v>3.8066895244498036</v>
      </c>
      <c r="D104" s="9">
        <f t="shared" si="9"/>
        <v>-0.72082991553160358</v>
      </c>
      <c r="E104" s="2">
        <f t="shared" si="10"/>
        <v>2.4470780946807276</v>
      </c>
      <c r="F104" s="2">
        <f t="shared" si="11"/>
        <v>-8.1045340354356288E-2</v>
      </c>
    </row>
    <row r="105" spans="2:6" x14ac:dyDescent="0.55000000000000004">
      <c r="B105" s="1">
        <v>94</v>
      </c>
      <c r="C105" s="1">
        <f t="shared" si="8"/>
        <v>3.6563154240236919</v>
      </c>
      <c r="D105" s="9">
        <f t="shared" si="9"/>
        <v>-0.4744714823104399</v>
      </c>
      <c r="E105" s="2">
        <f t="shared" si="10"/>
        <v>2.5885215991979145</v>
      </c>
      <c r="F105" s="2">
        <f t="shared" si="11"/>
        <v>-5.1701999440667223E-2</v>
      </c>
    </row>
    <row r="106" spans="2:6" x14ac:dyDescent="0.55000000000000004">
      <c r="B106" s="1">
        <v>95</v>
      </c>
      <c r="C106" s="1">
        <f t="shared" si="8"/>
        <v>3.4952090708056676</v>
      </c>
      <c r="D106" s="9">
        <f t="shared" si="9"/>
        <v>-0.28501146120463661</v>
      </c>
      <c r="E106" s="2">
        <f t="shared" si="10"/>
        <v>2.7111300269652543</v>
      </c>
      <c r="F106" s="2">
        <f t="shared" si="11"/>
        <v>-3.0248736457421765E-2</v>
      </c>
    </row>
    <row r="107" spans="2:6" x14ac:dyDescent="0.55000000000000004">
      <c r="B107" s="1">
        <v>96</v>
      </c>
      <c r="C107" s="1">
        <f t="shared" ref="C107:C138" si="12">($J$10+$L$10)*COS(2*PI()*B107/100)-$J$10*COS(2*PI()*($J$10+$L$10)*B107/($J$10*100))</f>
        <v>3.3385058495355291</v>
      </c>
      <c r="D107" s="9">
        <f t="shared" si="9"/>
        <v>-0.1504316231574051</v>
      </c>
      <c r="E107" s="2">
        <f t="shared" si="10"/>
        <v>2.8134730023011247</v>
      </c>
      <c r="F107" s="2">
        <f t="shared" si="11"/>
        <v>-1.5626100227994377E-2</v>
      </c>
    </row>
    <row r="108" spans="2:6" x14ac:dyDescent="0.55000000000000004">
      <c r="B108" s="1">
        <v>97</v>
      </c>
      <c r="C108" s="1">
        <f t="shared" si="12"/>
        <v>3.2001803754933436</v>
      </c>
      <c r="D108" s="9">
        <f t="shared" si="9"/>
        <v>-6.49781524142099E-2</v>
      </c>
      <c r="E108" s="2">
        <f t="shared" si="10"/>
        <v>2.8943509873456286</v>
      </c>
      <c r="F108" s="2">
        <f t="shared" si="11"/>
        <v>-6.6380764867712827E-3</v>
      </c>
    </row>
    <row r="109" spans="2:6" x14ac:dyDescent="0.55000000000000004">
      <c r="B109" s="1">
        <v>98</v>
      </c>
      <c r="C109" s="1">
        <f t="shared" si="12"/>
        <v>3.0921521252140485</v>
      </c>
      <c r="D109" s="9">
        <f t="shared" si="9"/>
        <v>-1.9579260155501821E-2</v>
      </c>
      <c r="E109" s="2">
        <f t="shared" si="10"/>
        <v>2.9528125637575866</v>
      </c>
      <c r="F109" s="2">
        <f t="shared" si="11"/>
        <v>-1.976579963753694E-3</v>
      </c>
    </row>
    <row r="110" spans="2:6" x14ac:dyDescent="0.55000000000000004">
      <c r="B110" s="1">
        <v>99</v>
      </c>
      <c r="C110" s="1">
        <f t="shared" si="12"/>
        <v>3.0235237525844552</v>
      </c>
      <c r="D110" s="9">
        <f t="shared" si="9"/>
        <v>-2.4721909523987007E-3</v>
      </c>
      <c r="E110" s="2">
        <f t="shared" si="10"/>
        <v>2.9881681581710211</v>
      </c>
      <c r="F110" s="2">
        <f t="shared" si="11"/>
        <v>-2.4780549432251719E-4</v>
      </c>
    </row>
    <row r="111" spans="2:6" ht="18.5" thickBot="1" x14ac:dyDescent="0.6">
      <c r="B111" s="3">
        <v>100</v>
      </c>
      <c r="C111" s="3">
        <f t="shared" si="12"/>
        <v>3</v>
      </c>
      <c r="D111" s="10">
        <f t="shared" si="9"/>
        <v>0</v>
      </c>
      <c r="E111" s="4">
        <f t="shared" si="10"/>
        <v>3</v>
      </c>
      <c r="F111" s="4">
        <f t="shared" si="11"/>
        <v>0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6D74-EF93-43CF-9E2E-FCE0142D74AA}">
  <sheetPr>
    <tabColor rgb="FFFF0000"/>
  </sheetPr>
  <dimension ref="B9:L111"/>
  <sheetViews>
    <sheetView workbookViewId="0">
      <selection activeCell="B10" sqref="B10"/>
    </sheetView>
  </sheetViews>
  <sheetFormatPr defaultRowHeight="18" x14ac:dyDescent="0.55000000000000004"/>
  <cols>
    <col min="6" max="6" width="8.83203125" customWidth="1"/>
    <col min="8" max="8" width="18.4140625" customWidth="1"/>
  </cols>
  <sheetData>
    <row r="9" spans="2:12" ht="18.5" thickBot="1" x14ac:dyDescent="0.6">
      <c r="C9" s="12" t="s">
        <v>13</v>
      </c>
      <c r="E9" s="12" t="s">
        <v>14</v>
      </c>
    </row>
    <row r="10" spans="2:12" ht="18.5" thickBot="1" x14ac:dyDescent="0.6">
      <c r="B10" s="6" t="s">
        <v>0</v>
      </c>
      <c r="C10" s="6" t="s">
        <v>10</v>
      </c>
      <c r="D10" s="8" t="s">
        <v>11</v>
      </c>
      <c r="E10" s="7" t="s">
        <v>10</v>
      </c>
      <c r="F10" s="7" t="s">
        <v>11</v>
      </c>
      <c r="H10" s="16" t="s">
        <v>13</v>
      </c>
      <c r="I10" s="16" t="s">
        <v>5</v>
      </c>
      <c r="J10" s="18">
        <v>1</v>
      </c>
      <c r="K10" s="17" t="s">
        <v>12</v>
      </c>
      <c r="L10" s="5">
        <v>3</v>
      </c>
    </row>
    <row r="11" spans="2:12" ht="18.5" thickBot="1" x14ac:dyDescent="0.6">
      <c r="B11" s="1">
        <v>0</v>
      </c>
      <c r="C11" s="1">
        <f t="shared" ref="C11:C42" si="0">($J$10+$L$10)*COS(2*PI()*B11/100)-$J$10*COS(2*PI()*($J$10+$L$10)*B11/($J$10*100))</f>
        <v>3</v>
      </c>
      <c r="D11" s="9">
        <f t="shared" ref="D11:D42" si="1">($J$10+$L$10)*SIN(2*PI()*B11/100)-$J$10*SIN(2*PI()*($J$10+$L$10)*B11/($J$10*100))</f>
        <v>0</v>
      </c>
      <c r="E11" s="2">
        <f t="shared" ref="E11:E42" si="2">($L$12-$J$12)*COS(2*PI()*B11/100)+$J$12*COS(2*PI()*($L$12-$J$12)*B11/($J$12*100))</f>
        <v>3</v>
      </c>
      <c r="F11" s="2">
        <f t="shared" ref="F11:F42" si="3">($L$12-$J$12)*SIN(2*PI()*B11/100)-$J$12*SIN(2*PI()*($L$12-$J$12)*B11/($J$12*100))</f>
        <v>0</v>
      </c>
    </row>
    <row r="12" spans="2:12" ht="18.5" thickBot="1" x14ac:dyDescent="0.6">
      <c r="B12" s="1">
        <v>1</v>
      </c>
      <c r="C12" s="1">
        <f t="shared" si="0"/>
        <v>3.0235237525844552</v>
      </c>
      <c r="D12" s="9">
        <f t="shared" si="1"/>
        <v>2.4721909523987007E-3</v>
      </c>
      <c r="E12" s="2">
        <f t="shared" si="2"/>
        <v>2.9881681581710211</v>
      </c>
      <c r="F12" s="2">
        <f t="shared" si="3"/>
        <v>2.4780549432248944E-4</v>
      </c>
      <c r="H12" s="16" t="s">
        <v>14</v>
      </c>
      <c r="I12" s="16" t="s">
        <v>5</v>
      </c>
      <c r="J12" s="18">
        <v>1</v>
      </c>
      <c r="K12" s="17" t="s">
        <v>12</v>
      </c>
      <c r="L12" s="5">
        <v>3</v>
      </c>
    </row>
    <row r="13" spans="2:12" x14ac:dyDescent="0.55000000000000004">
      <c r="B13" s="1">
        <v>2</v>
      </c>
      <c r="C13" s="1">
        <f t="shared" si="0"/>
        <v>3.092152125214048</v>
      </c>
      <c r="D13" s="9">
        <f t="shared" si="1"/>
        <v>1.957926015550171E-2</v>
      </c>
      <c r="E13" s="2">
        <f t="shared" si="2"/>
        <v>2.952812563757587</v>
      </c>
      <c r="F13" s="2">
        <f t="shared" si="3"/>
        <v>1.9765799637537218E-3</v>
      </c>
    </row>
    <row r="14" spans="2:12" x14ac:dyDescent="0.55000000000000004">
      <c r="B14" s="1">
        <v>3</v>
      </c>
      <c r="C14" s="1">
        <f t="shared" si="0"/>
        <v>3.2001803754933436</v>
      </c>
      <c r="D14" s="9">
        <f t="shared" si="1"/>
        <v>6.4978152414209789E-2</v>
      </c>
      <c r="E14" s="2">
        <f t="shared" si="2"/>
        <v>2.894350987345629</v>
      </c>
      <c r="F14" s="2">
        <f t="shared" si="3"/>
        <v>6.6380764867712827E-3</v>
      </c>
    </row>
    <row r="15" spans="2:12" x14ac:dyDescent="0.55000000000000004">
      <c r="B15" s="1">
        <v>4</v>
      </c>
      <c r="C15" s="1">
        <f t="shared" si="0"/>
        <v>3.3385058495355278</v>
      </c>
      <c r="D15" s="9">
        <f t="shared" si="1"/>
        <v>0.1504316231574041</v>
      </c>
      <c r="E15" s="2">
        <f t="shared" si="2"/>
        <v>2.8134730023011256</v>
      </c>
      <c r="F15" s="2">
        <f t="shared" si="3"/>
        <v>1.5626100227994266E-2</v>
      </c>
    </row>
    <row r="16" spans="2:12" x14ac:dyDescent="0.55000000000000004">
      <c r="B16" s="1">
        <v>5</v>
      </c>
      <c r="C16" s="1">
        <f t="shared" si="0"/>
        <v>3.4952090708056667</v>
      </c>
      <c r="D16" s="9">
        <f t="shared" si="1"/>
        <v>0.28501146120463605</v>
      </c>
      <c r="E16" s="2">
        <f t="shared" si="2"/>
        <v>2.7111300269652547</v>
      </c>
      <c r="F16" s="2">
        <f t="shared" si="3"/>
        <v>3.0248736457421654E-2</v>
      </c>
    </row>
    <row r="17" spans="2:6" x14ac:dyDescent="0.55000000000000004">
      <c r="B17" s="1">
        <v>6</v>
      </c>
      <c r="C17" s="1">
        <f t="shared" si="0"/>
        <v>3.6563154240236924</v>
      </c>
      <c r="D17" s="9">
        <f t="shared" si="1"/>
        <v>0.47447148231044012</v>
      </c>
      <c r="E17" s="2">
        <f t="shared" si="2"/>
        <v>2.5885215991979145</v>
      </c>
      <c r="F17" s="2">
        <f t="shared" si="3"/>
        <v>5.1701999440667223E-2</v>
      </c>
    </row>
    <row r="18" spans="2:6" x14ac:dyDescent="0.55000000000000004">
      <c r="B18" s="1">
        <v>7</v>
      </c>
      <c r="C18" s="1">
        <f t="shared" si="0"/>
        <v>3.8066895244498031</v>
      </c>
      <c r="D18" s="9">
        <f t="shared" si="1"/>
        <v>0.72082991553160192</v>
      </c>
      <c r="E18" s="2">
        <f t="shared" si="2"/>
        <v>2.4470780946807289</v>
      </c>
      <c r="F18" s="2">
        <f t="shared" si="3"/>
        <v>8.1045340354356066E-2</v>
      </c>
    </row>
    <row r="19" spans="2:6" x14ac:dyDescent="0.55000000000000004">
      <c r="B19" s="1">
        <v>8</v>
      </c>
      <c r="C19" s="1">
        <f t="shared" si="0"/>
        <v>3.9310060117405272</v>
      </c>
      <c r="D19" s="9">
        <f t="shared" si="1"/>
        <v>1.0221876439408417</v>
      </c>
      <c r="E19" s="2">
        <f t="shared" si="2"/>
        <v>2.2884401550667235</v>
      </c>
      <c r="F19" s="2">
        <f t="shared" si="3"/>
        <v>0.11917942270141557</v>
      </c>
    </row>
    <row r="20" spans="2:6" x14ac:dyDescent="0.55000000000000004">
      <c r="B20" s="1">
        <v>9</v>
      </c>
      <c r="C20" s="1">
        <f t="shared" si="0"/>
        <v>4.0147356917567496</v>
      </c>
      <c r="D20" s="9">
        <f t="shared" si="1"/>
        <v>1.3727939371401974</v>
      </c>
      <c r="E20" s="2">
        <f t="shared" si="2"/>
        <v>2.1144351425691026</v>
      </c>
      <c r="F20" s="2">
        <f t="shared" si="3"/>
        <v>0.16682653749197374</v>
      </c>
    </row>
    <row r="21" spans="2:6" x14ac:dyDescent="0.55000000000000004">
      <c r="B21" s="1">
        <v>10</v>
      </c>
      <c r="C21" s="1">
        <f t="shared" si="0"/>
        <v>4.0450849718747373</v>
      </c>
      <c r="D21" s="9">
        <f t="shared" si="1"/>
        <v>1.7633557568774192</v>
      </c>
      <c r="E21" s="2">
        <f t="shared" si="2"/>
        <v>1.9270509831248424</v>
      </c>
      <c r="F21" s="2">
        <f t="shared" si="3"/>
        <v>0.22451398828979274</v>
      </c>
    </row>
    <row r="22" spans="2:6" x14ac:dyDescent="0.55000000000000004">
      <c r="B22" s="1">
        <v>11</v>
      </c>
      <c r="C22" s="1">
        <f t="shared" si="0"/>
        <v>4.0118294569914088</v>
      </c>
      <c r="D22" s="9">
        <f t="shared" si="1"/>
        <v>2.1815714063100806</v>
      </c>
      <c r="E22" s="2">
        <f t="shared" si="2"/>
        <v>1.7284078001373033</v>
      </c>
      <c r="F22" s="2">
        <f t="shared" si="3"/>
        <v>0.29256072876869066</v>
      </c>
    </row>
    <row r="23" spans="2:6" x14ac:dyDescent="0.55000000000000004">
      <c r="B23" s="1">
        <v>12</v>
      </c>
      <c r="C23" s="1">
        <f t="shared" si="0"/>
        <v>3.9079892110001238</v>
      </c>
      <c r="D23" s="9">
        <f t="shared" si="1"/>
        <v>2.6128551901504498</v>
      </c>
      <c r="E23" s="2">
        <f t="shared" si="2"/>
        <v>1.5207277743721366</v>
      </c>
      <c r="F23" s="2">
        <f t="shared" si="3"/>
        <v>0.37106748342910567</v>
      </c>
    </row>
    <row r="24" spans="2:6" x14ac:dyDescent="0.55000000000000004">
      <c r="B24" s="1">
        <v>13</v>
      </c>
      <c r="C24" s="1">
        <f t="shared" si="0"/>
        <v>3.7303031250292324</v>
      </c>
      <c r="D24" s="9">
        <f t="shared" si="1"/>
        <v>3.0412077432499505</v>
      </c>
      <c r="E24" s="2">
        <f t="shared" si="2"/>
        <v>1.3063036923280638</v>
      </c>
      <c r="F24" s="2">
        <f t="shared" si="3"/>
        <v>0.45991052641455155</v>
      </c>
    </row>
    <row r="25" spans="2:6" x14ac:dyDescent="0.55000000000000004">
      <c r="B25" s="1">
        <v>14</v>
      </c>
      <c r="C25" s="1">
        <f t="shared" si="0"/>
        <v>3.4794724448830103</v>
      </c>
      <c r="D25" s="9">
        <f t="shared" si="1"/>
        <v>3.4501775237878349</v>
      </c>
      <c r="E25" s="2">
        <f t="shared" si="2"/>
        <v>1.0874666649116549</v>
      </c>
      <c r="F25" s="2">
        <f t="shared" si="3"/>
        <v>0.55873923482288979</v>
      </c>
    </row>
    <row r="26" spans="2:6" x14ac:dyDescent="0.55000000000000004">
      <c r="B26" s="1">
        <v>15</v>
      </c>
      <c r="C26" s="1">
        <f t="shared" si="0"/>
        <v>3.1601580035448409</v>
      </c>
      <c r="D26" s="9">
        <f t="shared" si="1"/>
        <v>3.8238532297922623</v>
      </c>
      <c r="E26" s="2">
        <f t="shared" si="2"/>
        <v>0.86655351020999938</v>
      </c>
      <c r="F26" s="2">
        <f t="shared" si="3"/>
        <v>0.66697747245474104</v>
      </c>
    </row>
    <row r="27" spans="2:6" x14ac:dyDescent="0.55000000000000004">
      <c r="B27" s="1">
        <v>16</v>
      </c>
      <c r="C27" s="1">
        <f t="shared" si="0"/>
        <v>2.7807311696646755</v>
      </c>
      <c r="D27" s="9">
        <f t="shared" si="1"/>
        <v>4.1478249447838493</v>
      </c>
      <c r="E27" s="2">
        <f t="shared" si="2"/>
        <v>0.64587429839292043</v>
      </c>
      <c r="F27" s="2">
        <f t="shared" si="3"/>
        <v>0.78382879853801068</v>
      </c>
    </row>
    <row r="28" spans="2:6" x14ac:dyDescent="0.55000000000000004">
      <c r="B28" s="1">
        <v>17</v>
      </c>
      <c r="C28" s="1">
        <f t="shared" si="0"/>
        <v>2.3527939879719328</v>
      </c>
      <c r="D28" s="9">
        <f t="shared" si="1"/>
        <v>4.4100537726414748</v>
      </c>
      <c r="E28" s="2">
        <f t="shared" si="2"/>
        <v>0.42768055322443344</v>
      </c>
      <c r="F28" s="2">
        <f t="shared" si="3"/>
        <v>0.90828543458571243</v>
      </c>
    </row>
    <row r="29" spans="2:6" x14ac:dyDescent="0.55000000000000004">
      <c r="B29" s="1">
        <v>18</v>
      </c>
      <c r="C29" s="1">
        <f t="shared" si="0"/>
        <v>1.8904984808460152</v>
      </c>
      <c r="D29" s="9">
        <f t="shared" si="1"/>
        <v>4.6015954605927671</v>
      </c>
      <c r="E29" s="2">
        <f t="shared" si="2"/>
        <v>0.21413459338145557</v>
      </c>
      <c r="F29" s="2">
        <f t="shared" si="3"/>
        <v>1.0391408621562499</v>
      </c>
    </row>
    <row r="30" spans="2:6" x14ac:dyDescent="0.55000000000000004">
      <c r="B30" s="1">
        <v>19</v>
      </c>
      <c r="C30" s="1">
        <f t="shared" si="0"/>
        <v>1.4097076912093995</v>
      </c>
      <c r="D30" s="9">
        <f t="shared" si="1"/>
        <v>4.7171326719812772</v>
      </c>
      <c r="E30" s="2">
        <f t="shared" si="2"/>
        <v>7.2804779479448412E-3</v>
      </c>
      <c r="F30" s="2">
        <f t="shared" si="3"/>
        <v>1.175005865847814</v>
      </c>
    </row>
    <row r="31" spans="2:6" x14ac:dyDescent="0.55000000000000004">
      <c r="B31" s="1">
        <v>20</v>
      </c>
      <c r="C31" s="1">
        <f t="shared" si="0"/>
        <v>0.92705098312484258</v>
      </c>
      <c r="D31" s="9">
        <f t="shared" si="1"/>
        <v>4.7552825814757682</v>
      </c>
      <c r="E31" s="2">
        <f t="shared" si="2"/>
        <v>-0.19098300562505244</v>
      </c>
      <c r="F31" s="2">
        <f t="shared" si="3"/>
        <v>1.3143277802978339</v>
      </c>
    </row>
    <row r="32" spans="2:6" x14ac:dyDescent="0.55000000000000004">
      <c r="B32" s="1">
        <v>21</v>
      </c>
      <c r="C32" s="1">
        <f t="shared" si="0"/>
        <v>0.45893275368042219</v>
      </c>
      <c r="D32" s="9">
        <f t="shared" si="1"/>
        <v>4.7186605700165396</v>
      </c>
      <c r="E32" s="2">
        <f t="shared" si="2"/>
        <v>-0.37892690571415411</v>
      </c>
      <c r="F32" s="2">
        <f t="shared" si="3"/>
        <v>1.4554126481555469</v>
      </c>
    </row>
    <row r="33" spans="2:6" x14ac:dyDescent="0.55000000000000004">
      <c r="B33" s="1">
        <v>22</v>
      </c>
      <c r="C33" s="1">
        <f t="shared" si="0"/>
        <v>2.055663092148774E-2</v>
      </c>
      <c r="D33" s="9">
        <f t="shared" si="1"/>
        <v>4.6136961088434436</v>
      </c>
      <c r="E33" s="2">
        <f t="shared" si="2"/>
        <v>-0.55501385671680192</v>
      </c>
      <c r="F33" s="2">
        <f t="shared" si="3"/>
        <v>1.5964499487726991</v>
      </c>
    </row>
    <row r="34" spans="2:6" x14ac:dyDescent="0.55000000000000004">
      <c r="B34" s="1">
        <v>23</v>
      </c>
      <c r="C34" s="1">
        <f t="shared" si="0"/>
        <v>-0.37497374578664522</v>
      </c>
      <c r="D34" s="9">
        <f t="shared" si="1"/>
        <v>4.4502124793596272</v>
      </c>
      <c r="E34" s="2">
        <f t="shared" si="2"/>
        <v>-0.717916694000022</v>
      </c>
      <c r="F34" s="2">
        <f t="shared" si="3"/>
        <v>1.7355395154641002</v>
      </c>
    </row>
    <row r="35" spans="2:6" x14ac:dyDescent="0.55000000000000004">
      <c r="B35" s="1">
        <v>24</v>
      </c>
      <c r="C35" s="1">
        <f t="shared" si="0"/>
        <v>-0.71742108301137686</v>
      </c>
      <c r="D35" s="9">
        <f t="shared" si="1"/>
        <v>4.2407968008779413</v>
      </c>
      <c r="E35" s="2">
        <f t="shared" si="2"/>
        <v>-0.86653366225585071</v>
      </c>
      <c r="F35" s="2">
        <f t="shared" si="3"/>
        <v>1.8707202232922386</v>
      </c>
    </row>
    <row r="36" spans="2:6" x14ac:dyDescent="0.55000000000000004">
      <c r="B36" s="1">
        <v>25</v>
      </c>
      <c r="C36" s="1">
        <f t="shared" si="0"/>
        <v>-0.99999999999999978</v>
      </c>
      <c r="D36" s="9">
        <f t="shared" si="1"/>
        <v>4</v>
      </c>
      <c r="E36" s="2">
        <f t="shared" si="2"/>
        <v>-0.99999999999999989</v>
      </c>
      <c r="F36" s="2">
        <f t="shared" si="3"/>
        <v>1.9999999999999998</v>
      </c>
    </row>
    <row r="37" spans="2:6" x14ac:dyDescent="0.55000000000000004">
      <c r="B37" s="1">
        <v>26</v>
      </c>
      <c r="C37" s="1">
        <f t="shared" si="0"/>
        <v>-1.2197452392458847</v>
      </c>
      <c r="D37" s="9">
        <f t="shared" si="1"/>
        <v>3.7434170265482312</v>
      </c>
      <c r="E37" s="2">
        <f t="shared" si="2"/>
        <v>-1.1176957403731047</v>
      </c>
      <c r="F37" s="2">
        <f t="shared" si="3"/>
        <v>2.1213866904208474</v>
      </c>
    </row>
    <row r="38" spans="2:6" x14ac:dyDescent="0.55000000000000004">
      <c r="B38" s="1">
        <v>27</v>
      </c>
      <c r="C38" s="1">
        <f t="shared" si="0"/>
        <v>-1.3776396143010805</v>
      </c>
      <c r="D38" s="9">
        <f t="shared" si="1"/>
        <v>3.4867051311561967</v>
      </c>
      <c r="E38" s="2">
        <f t="shared" si="2"/>
        <v>-1.2192496282572396</v>
      </c>
      <c r="F38" s="2">
        <f t="shared" si="3"/>
        <v>2.2329192897938102</v>
      </c>
    </row>
    <row r="39" spans="2:6" x14ac:dyDescent="0.55000000000000004">
      <c r="B39" s="1">
        <v>28</v>
      </c>
      <c r="C39" s="1">
        <f t="shared" si="0"/>
        <v>-1.47849388576431</v>
      </c>
      <c r="D39" s="9">
        <f t="shared" si="1"/>
        <v>3.2446018969860662</v>
      </c>
      <c r="E39" s="2">
        <f t="shared" si="2"/>
        <v>-1.3045391150597005</v>
      </c>
      <c r="F39" s="2">
        <f t="shared" si="3"/>
        <v>2.3326990541420551</v>
      </c>
    </row>
    <row r="40" spans="2:6" x14ac:dyDescent="0.55000000000000004">
      <c r="B40" s="1">
        <v>29</v>
      </c>
      <c r="C40" s="1">
        <f t="shared" si="0"/>
        <v>-1.5305863436384159</v>
      </c>
      <c r="D40" s="9">
        <f t="shared" si="1"/>
        <v>3.030004719012509</v>
      </c>
      <c r="E40" s="2">
        <f t="shared" si="2"/>
        <v>-1.3736864543735732</v>
      </c>
      <c r="F40" s="2">
        <f t="shared" si="3"/>
        <v>2.4189199963589774</v>
      </c>
    </row>
    <row r="41" spans="2:6" x14ac:dyDescent="0.55000000000000004">
      <c r="B41" s="1">
        <v>30</v>
      </c>
      <c r="C41" s="1">
        <f t="shared" si="0"/>
        <v>-1.545084971874737</v>
      </c>
      <c r="D41" s="9">
        <f t="shared" si="1"/>
        <v>2.8531695488854614</v>
      </c>
      <c r="E41" s="2">
        <f t="shared" si="2"/>
        <v>-1.4270509831248419</v>
      </c>
      <c r="F41" s="2">
        <f t="shared" si="3"/>
        <v>2.4898982848827798</v>
      </c>
    </row>
    <row r="42" spans="2:6" x14ac:dyDescent="0.55000000000000004">
      <c r="B42" s="1">
        <v>31</v>
      </c>
      <c r="C42" s="1">
        <f t="shared" si="0"/>
        <v>-1.5352887302680251</v>
      </c>
      <c r="D42" s="9">
        <f t="shared" si="1"/>
        <v>2.7210792151247345</v>
      </c>
      <c r="E42" s="2">
        <f t="shared" si="2"/>
        <v>-1.4652177327907672</v>
      </c>
      <c r="F42" s="2">
        <f t="shared" si="3"/>
        <v>2.5441000777051914</v>
      </c>
    </row>
    <row r="43" spans="2:6" x14ac:dyDescent="0.55000000000000004">
      <c r="B43" s="1">
        <v>32</v>
      </c>
      <c r="C43" s="1">
        <f t="shared" ref="C43:C74" si="4">($J$10+$L$10)*COS(2*PI()*B43/100)-$J$10*COS(2*PI()*($J$10+$L$10)*B43/($J$10*100))</f>
        <v>-1.5157358516745658</v>
      </c>
      <c r="D43" s="9">
        <f t="shared" ref="D43:D74" si="5">($J$10+$L$10)*SIN(2*PI()*B43/100)-$J$10*SIN(2*PI()*($J$10+$L$10)*B43/($J$10*100))</f>
        <v>2.6370209591353895</v>
      </c>
      <c r="E43" s="2">
        <f t="shared" ref="E43:E74" si="6">($L$12-$J$12)*COS(2*PI()*B43/100)+$J$12*COS(2*PI()*($L$12-$J$12)*B43/($J$12*100))</f>
        <v>-1.4889825728788351</v>
      </c>
      <c r="F43" s="2">
        <f t="shared" ref="F43:F74" si="7">($L$12-$J$12)*SIN(2*PI()*B43/100)-$J$12*SIN(2*PI()*($L$12-$J$12)*B43/($J$12*100))</f>
        <v>2.5801673477078282</v>
      </c>
    </row>
    <row r="44" spans="2:6" x14ac:dyDescent="0.55000000000000004">
      <c r="B44" s="1">
        <v>33</v>
      </c>
      <c r="C44" s="1">
        <f t="shared" si="4"/>
        <v>-1.5012354048417884</v>
      </c>
      <c r="D44" s="9">
        <f t="shared" si="5"/>
        <v>2.6003996677094348</v>
      </c>
      <c r="E44" s="2">
        <f t="shared" si="6"/>
        <v>-1.4993341431824272</v>
      </c>
      <c r="F44" s="2">
        <f t="shared" si="7"/>
        <v>2.5969412855897422</v>
      </c>
    </row>
    <row r="45" spans="2:6" x14ac:dyDescent="0.55000000000000004">
      <c r="B45" s="1">
        <v>34</v>
      </c>
      <c r="C45" s="1">
        <f t="shared" si="4"/>
        <v>-1.5058831901672969</v>
      </c>
      <c r="D45" s="9">
        <f t="shared" si="5"/>
        <v>2.6067984592322713</v>
      </c>
      <c r="E45" s="2">
        <f t="shared" si="6"/>
        <v>-1.497432881523066</v>
      </c>
      <c r="F45" s="2">
        <f t="shared" si="7"/>
        <v>2.5934829034700497</v>
      </c>
    </row>
    <row r="46" spans="2:6" x14ac:dyDescent="0.55000000000000004">
      <c r="B46" s="1">
        <v>35</v>
      </c>
      <c r="C46" s="1">
        <f t="shared" si="4"/>
        <v>-1.5421240147949449</v>
      </c>
      <c r="D46" s="9">
        <f t="shared" si="5"/>
        <v>2.6482827252073164</v>
      </c>
      <c r="E46" s="2">
        <f t="shared" si="6"/>
        <v>-1.4845874989598937</v>
      </c>
      <c r="F46" s="2">
        <f t="shared" si="7"/>
        <v>2.5690905050450485</v>
      </c>
    </row>
    <row r="47" spans="2:6" x14ac:dyDescent="0.55000000000000004">
      <c r="B47" s="1">
        <v>36</v>
      </c>
      <c r="C47" s="1">
        <f t="shared" si="4"/>
        <v>-1.6199194731065076</v>
      </c>
      <c r="D47" s="9">
        <f t="shared" si="5"/>
        <v>2.7139284184184791</v>
      </c>
      <c r="E47" s="2">
        <f t="shared" si="6"/>
        <v>-1.4622292940831041</v>
      </c>
      <c r="F47" s="2">
        <f t="shared" si="7"/>
        <v>2.5233137362802673</v>
      </c>
    </row>
    <row r="48" spans="2:6" x14ac:dyDescent="0.55000000000000004">
      <c r="B48" s="1">
        <v>37</v>
      </c>
      <c r="C48" s="1">
        <f t="shared" si="4"/>
        <v>-1.7460737224002769</v>
      </c>
      <c r="D48" s="9">
        <f t="shared" si="5"/>
        <v>2.790541276121342</v>
      </c>
      <c r="E48" s="2">
        <f t="shared" si="6"/>
        <v>-1.4318847313866907</v>
      </c>
      <c r="F48" s="2">
        <f t="shared" si="7"/>
        <v>2.4559639832710944</v>
      </c>
    </row>
    <row r="49" spans="2:6" x14ac:dyDescent="0.55000000000000004">
      <c r="B49" s="1">
        <v>38</v>
      </c>
      <c r="C49" s="1">
        <f t="shared" si="4"/>
        <v>-1.9237598083711673</v>
      </c>
      <c r="D49" s="9">
        <f t="shared" si="5"/>
        <v>2.8635216572790587</v>
      </c>
      <c r="E49" s="2">
        <f t="shared" si="6"/>
        <v>-1.3951467353135099</v>
      </c>
      <c r="F49" s="2">
        <f t="shared" si="7"/>
        <v>2.3671209402856492</v>
      </c>
    </row>
    <row r="50" spans="2:6" x14ac:dyDescent="0.55000000000000004">
      <c r="B50" s="1">
        <v>39</v>
      </c>
      <c r="C50" s="1">
        <f t="shared" si="4"/>
        <v>-2.1522764852149048</v>
      </c>
      <c r="D50" s="9">
        <f t="shared" si="5"/>
        <v>2.9178205116794365</v>
      </c>
      <c r="E50" s="2">
        <f t="shared" si="6"/>
        <v>-1.3536451709658541</v>
      </c>
      <c r="F50" s="2">
        <f t="shared" si="7"/>
        <v>2.2571352302260683</v>
      </c>
    </row>
    <row r="51" spans="2:6" x14ac:dyDescent="0.55000000000000004">
      <c r="B51" s="1">
        <v>40</v>
      </c>
      <c r="C51" s="1">
        <f t="shared" si="4"/>
        <v>-2.4270509831248415</v>
      </c>
      <c r="D51" s="9">
        <f t="shared" si="5"/>
        <v>2.9389262614623659</v>
      </c>
      <c r="E51" s="2">
        <f t="shared" si="6"/>
        <v>-1.3090169943749475</v>
      </c>
      <c r="F51" s="2">
        <f t="shared" si="7"/>
        <v>2.1266270208801004</v>
      </c>
    </row>
    <row r="52" spans="2:6" x14ac:dyDescent="0.55000000000000004">
      <c r="B52" s="1">
        <v>41</v>
      </c>
      <c r="C52" s="1">
        <f t="shared" si="4"/>
        <v>-2.7398877122593683</v>
      </c>
      <c r="D52" s="9">
        <f t="shared" si="5"/>
        <v>2.9138204226917761</v>
      </c>
      <c r="E52" s="2">
        <f t="shared" si="6"/>
        <v>-1.2628765594389579</v>
      </c>
      <c r="F52" s="2">
        <f t="shared" si="7"/>
        <v>1.976480642424014</v>
      </c>
    </row>
    <row r="53" spans="2:6" x14ac:dyDescent="0.55000000000000004">
      <c r="B53" s="1">
        <v>42</v>
      </c>
      <c r="C53" s="1">
        <f t="shared" si="4"/>
        <v>-3.0794474286103819</v>
      </c>
      <c r="D53" s="9">
        <f t="shared" si="5"/>
        <v>2.8318417488728804</v>
      </c>
      <c r="E53" s="2">
        <f t="shared" si="6"/>
        <v>-1.2167865651087304</v>
      </c>
      <c r="F53" s="2">
        <f t="shared" si="7"/>
        <v>1.8078352737054453</v>
      </c>
    </row>
    <row r="54" spans="2:6" x14ac:dyDescent="0.55000000000000004">
      <c r="B54" s="1">
        <v>43</v>
      </c>
      <c r="C54" s="1">
        <f t="shared" si="4"/>
        <v>-3.4319268952783517</v>
      </c>
      <c r="D54" s="9">
        <f t="shared" si="5"/>
        <v>2.6854044169889799</v>
      </c>
      <c r="E54" s="2">
        <f t="shared" si="6"/>
        <v>-1.1722301151833494</v>
      </c>
      <c r="F54" s="2">
        <f t="shared" si="7"/>
        <v>1.6220718259059352</v>
      </c>
    </row>
    <row r="55" spans="2:6" x14ac:dyDescent="0.55000000000000004">
      <c r="B55" s="1">
        <v>44</v>
      </c>
      <c r="C55" s="1">
        <f t="shared" si="4"/>
        <v>-3.781896463082318</v>
      </c>
      <c r="D55" s="9">
        <f t="shared" si="5"/>
        <v>2.4705249391669843</v>
      </c>
      <c r="E55" s="2">
        <f t="shared" si="6"/>
        <v>-1.1305843443550914</v>
      </c>
      <c r="F55" s="2">
        <f t="shared" si="7"/>
        <v>1.4207962112980452</v>
      </c>
    </row>
    <row r="56" spans="2:6" x14ac:dyDescent="0.55000000000000004">
      <c r="B56" s="1">
        <v>45</v>
      </c>
      <c r="C56" s="1">
        <f t="shared" si="4"/>
        <v>-4.1132430595555611</v>
      </c>
      <c r="D56" s="9">
        <f t="shared" si="5"/>
        <v>2.1871244937949439</v>
      </c>
      <c r="E56" s="2">
        <f t="shared" si="6"/>
        <v>-1.0930960382153598</v>
      </c>
      <c r="F56" s="2">
        <f t="shared" si="7"/>
        <v>1.2058192410423683</v>
      </c>
    </row>
    <row r="57" spans="2:6" x14ac:dyDescent="0.55000000000000004">
      <c r="B57" s="1">
        <v>46</v>
      </c>
      <c r="C57" s="1">
        <f t="shared" si="4"/>
        <v>-4.4101594394935191</v>
      </c>
      <c r="D57" s="9">
        <f t="shared" si="5"/>
        <v>1.8390874741614369</v>
      </c>
      <c r="E57" s="2">
        <f t="shared" si="6"/>
        <v>-1.0608596422133987</v>
      </c>
      <c r="F57" s="2">
        <f t="shared" si="7"/>
        <v>0.97913344843142658</v>
      </c>
    </row>
    <row r="58" spans="2:6" x14ac:dyDescent="0.55000000000000004">
      <c r="B58" s="1">
        <v>47</v>
      </c>
      <c r="C58" s="1">
        <f t="shared" si="4"/>
        <v>-4.6581176303361662</v>
      </c>
      <c r="D58" s="9">
        <f t="shared" si="5"/>
        <v>1.4340723642715867</v>
      </c>
      <c r="E58" s="2">
        <f t="shared" si="6"/>
        <v>-1.0347980155691259</v>
      </c>
      <c r="F58" s="2">
        <f t="shared" si="7"/>
        <v>0.74288718185612701</v>
      </c>
    </row>
    <row r="59" spans="2:6" x14ac:dyDescent="0.55000000000000004">
      <c r="B59" s="1">
        <v>48</v>
      </c>
      <c r="C59" s="1">
        <f t="shared" si="4"/>
        <v>-4.8447654853017745</v>
      </c>
      <c r="D59" s="9">
        <f t="shared" si="5"/>
        <v>0.98308660835893447</v>
      </c>
      <c r="E59" s="2">
        <f t="shared" si="6"/>
        <v>-1.0156462415003245</v>
      </c>
      <c r="F59" s="2">
        <f t="shared" si="7"/>
        <v>0.49935635429346442</v>
      </c>
    </row>
    <row r="60" spans="2:6" x14ac:dyDescent="0.55000000000000004">
      <c r="B60" s="1">
        <v>49</v>
      </c>
      <c r="C60" s="1">
        <f t="shared" si="4"/>
        <v>-4.9606900748417173</v>
      </c>
      <c r="D60" s="9">
        <f t="shared" si="5"/>
        <v>0.49985196528210996</v>
      </c>
      <c r="E60" s="2">
        <f t="shared" si="6"/>
        <v>-1.0039387555420654</v>
      </c>
      <c r="F60" s="2">
        <f t="shared" si="7"/>
        <v>0.25091427262293181</v>
      </c>
    </row>
    <row r="61" spans="2:6" x14ac:dyDescent="0.55000000000000004">
      <c r="B61" s="1">
        <v>50</v>
      </c>
      <c r="C61" s="1">
        <f t="shared" si="4"/>
        <v>-5</v>
      </c>
      <c r="D61" s="9">
        <f t="shared" si="5"/>
        <v>9.8011876392689601E-16</v>
      </c>
      <c r="E61" s="2">
        <f t="shared" si="6"/>
        <v>-1</v>
      </c>
      <c r="F61" s="2">
        <f t="shared" si="7"/>
        <v>4.90059381963448E-16</v>
      </c>
    </row>
    <row r="62" spans="2:6" x14ac:dyDescent="0.55000000000000004">
      <c r="B62" s="1">
        <v>51</v>
      </c>
      <c r="C62" s="1">
        <f t="shared" si="4"/>
        <v>-4.9606900748417173</v>
      </c>
      <c r="D62" s="9">
        <f t="shared" si="5"/>
        <v>-0.49985196528210807</v>
      </c>
      <c r="E62" s="2">
        <f t="shared" si="6"/>
        <v>-1.0039387555420651</v>
      </c>
      <c r="F62" s="2">
        <f t="shared" si="7"/>
        <v>-0.25091427262293087</v>
      </c>
    </row>
    <row r="63" spans="2:6" x14ac:dyDescent="0.55000000000000004">
      <c r="B63" s="1">
        <v>52</v>
      </c>
      <c r="C63" s="1">
        <f t="shared" si="4"/>
        <v>-4.8447654853017745</v>
      </c>
      <c r="D63" s="9">
        <f t="shared" si="5"/>
        <v>-0.98308660835893258</v>
      </c>
      <c r="E63" s="2">
        <f t="shared" si="6"/>
        <v>-1.0156462415003247</v>
      </c>
      <c r="F63" s="2">
        <f t="shared" si="7"/>
        <v>-0.49935635429346348</v>
      </c>
    </row>
    <row r="64" spans="2:6" x14ac:dyDescent="0.55000000000000004">
      <c r="B64" s="1">
        <v>53</v>
      </c>
      <c r="C64" s="1">
        <f t="shared" si="4"/>
        <v>-4.6581176303361653</v>
      </c>
      <c r="D64" s="9">
        <f t="shared" si="5"/>
        <v>-1.434072364271588</v>
      </c>
      <c r="E64" s="2">
        <f t="shared" si="6"/>
        <v>-1.0347980155691259</v>
      </c>
      <c r="F64" s="2">
        <f t="shared" si="7"/>
        <v>-0.74288718185612779</v>
      </c>
    </row>
    <row r="65" spans="2:6" x14ac:dyDescent="0.55000000000000004">
      <c r="B65" s="1">
        <v>54</v>
      </c>
      <c r="C65" s="1">
        <f t="shared" si="4"/>
        <v>-4.4101594394935217</v>
      </c>
      <c r="D65" s="9">
        <f t="shared" si="5"/>
        <v>-1.8390874741614329</v>
      </c>
      <c r="E65" s="2">
        <f t="shared" si="6"/>
        <v>-1.0608596422133987</v>
      </c>
      <c r="F65" s="2">
        <f t="shared" si="7"/>
        <v>-0.97913344843142402</v>
      </c>
    </row>
    <row r="66" spans="2:6" x14ac:dyDescent="0.55000000000000004">
      <c r="B66" s="1">
        <v>55</v>
      </c>
      <c r="C66" s="1">
        <f t="shared" si="4"/>
        <v>-4.1132430595555629</v>
      </c>
      <c r="D66" s="9">
        <f t="shared" si="5"/>
        <v>-2.1871244937949426</v>
      </c>
      <c r="E66" s="2">
        <f t="shared" si="6"/>
        <v>-1.0930960382153598</v>
      </c>
      <c r="F66" s="2">
        <f t="shared" si="7"/>
        <v>-1.2058192410423674</v>
      </c>
    </row>
    <row r="67" spans="2:6" x14ac:dyDescent="0.55000000000000004">
      <c r="B67" s="1">
        <v>56</v>
      </c>
      <c r="C67" s="1">
        <f t="shared" si="4"/>
        <v>-3.7818964630823193</v>
      </c>
      <c r="D67" s="9">
        <f t="shared" si="5"/>
        <v>-2.4705249391669835</v>
      </c>
      <c r="E67" s="2">
        <f t="shared" si="6"/>
        <v>-1.1305843443550914</v>
      </c>
      <c r="F67" s="2">
        <f t="shared" si="7"/>
        <v>-1.4207962112980446</v>
      </c>
    </row>
    <row r="68" spans="2:6" x14ac:dyDescent="0.55000000000000004">
      <c r="B68" s="1">
        <v>57</v>
      </c>
      <c r="C68" s="1">
        <f t="shared" si="4"/>
        <v>-3.4319268952783557</v>
      </c>
      <c r="D68" s="9">
        <f t="shared" si="5"/>
        <v>-2.6854044169889781</v>
      </c>
      <c r="E68" s="2">
        <f t="shared" si="6"/>
        <v>-1.172230115183349</v>
      </c>
      <c r="F68" s="2">
        <f t="shared" si="7"/>
        <v>-1.6220718259059332</v>
      </c>
    </row>
    <row r="69" spans="2:6" x14ac:dyDescent="0.55000000000000004">
      <c r="B69" s="1">
        <v>58</v>
      </c>
      <c r="C69" s="1">
        <f t="shared" si="4"/>
        <v>-3.079447428610381</v>
      </c>
      <c r="D69" s="9">
        <f t="shared" si="5"/>
        <v>-2.8318417488728809</v>
      </c>
      <c r="E69" s="2">
        <f t="shared" si="6"/>
        <v>-1.2167865651087304</v>
      </c>
      <c r="F69" s="2">
        <f t="shared" si="7"/>
        <v>-1.8078352737054459</v>
      </c>
    </row>
    <row r="70" spans="2:6" x14ac:dyDescent="0.55000000000000004">
      <c r="B70" s="1">
        <v>59</v>
      </c>
      <c r="C70" s="1">
        <f t="shared" si="4"/>
        <v>-2.7398877122593719</v>
      </c>
      <c r="D70" s="9">
        <f t="shared" si="5"/>
        <v>-2.9138204226917757</v>
      </c>
      <c r="E70" s="2">
        <f t="shared" si="6"/>
        <v>-1.2628765594389573</v>
      </c>
      <c r="F70" s="2">
        <f t="shared" si="7"/>
        <v>-1.9764806424240122</v>
      </c>
    </row>
    <row r="71" spans="2:6" x14ac:dyDescent="0.55000000000000004">
      <c r="B71" s="1">
        <v>60</v>
      </c>
      <c r="C71" s="1">
        <f t="shared" si="4"/>
        <v>-2.427050983124845</v>
      </c>
      <c r="D71" s="9">
        <f t="shared" si="5"/>
        <v>-2.9389262614623659</v>
      </c>
      <c r="E71" s="2">
        <f t="shared" si="6"/>
        <v>-1.309016994374947</v>
      </c>
      <c r="F71" s="2">
        <f t="shared" si="7"/>
        <v>-2.1266270208800986</v>
      </c>
    </row>
    <row r="72" spans="2:6" x14ac:dyDescent="0.55000000000000004">
      <c r="B72" s="1">
        <v>61</v>
      </c>
      <c r="C72" s="1">
        <f t="shared" si="4"/>
        <v>-2.1522764852149057</v>
      </c>
      <c r="D72" s="9">
        <f t="shared" si="5"/>
        <v>-2.9178205116794369</v>
      </c>
      <c r="E72" s="2">
        <f t="shared" si="6"/>
        <v>-1.3536451709658537</v>
      </c>
      <c r="F72" s="2">
        <f t="shared" si="7"/>
        <v>-2.2571352302260679</v>
      </c>
    </row>
    <row r="73" spans="2:6" x14ac:dyDescent="0.55000000000000004">
      <c r="B73" s="1">
        <v>62</v>
      </c>
      <c r="C73" s="1">
        <f t="shared" si="4"/>
        <v>-1.9237598083711696</v>
      </c>
      <c r="D73" s="9">
        <f t="shared" si="5"/>
        <v>-2.8635216572790596</v>
      </c>
      <c r="E73" s="2">
        <f t="shared" si="6"/>
        <v>-1.3951467353135094</v>
      </c>
      <c r="F73" s="2">
        <f t="shared" si="7"/>
        <v>-2.3671209402856483</v>
      </c>
    </row>
    <row r="74" spans="2:6" x14ac:dyDescent="0.55000000000000004">
      <c r="B74" s="1">
        <v>63</v>
      </c>
      <c r="C74" s="1">
        <f t="shared" si="4"/>
        <v>-1.7460737224002767</v>
      </c>
      <c r="D74" s="9">
        <f t="shared" si="5"/>
        <v>-2.7905412761213415</v>
      </c>
      <c r="E74" s="2">
        <f t="shared" si="6"/>
        <v>-1.4318847313866909</v>
      </c>
      <c r="F74" s="2">
        <f t="shared" si="7"/>
        <v>-2.4559639832710944</v>
      </c>
    </row>
    <row r="75" spans="2:6" x14ac:dyDescent="0.55000000000000004">
      <c r="B75" s="1">
        <v>64</v>
      </c>
      <c r="C75" s="1">
        <f t="shared" ref="C75:C106" si="8">($J$10+$L$10)*COS(2*PI()*B75/100)-$J$10*COS(2*PI()*($J$10+$L$10)*B75/($J$10*100))</f>
        <v>-1.619919473106507</v>
      </c>
      <c r="D75" s="9">
        <f t="shared" ref="D75:D111" si="9">($J$10+$L$10)*SIN(2*PI()*B75/100)-$J$10*SIN(2*PI()*($J$10+$L$10)*B75/($J$10*100))</f>
        <v>-2.7139284184184786</v>
      </c>
      <c r="E75" s="2">
        <f t="shared" ref="E75:E111" si="10">($L$12-$J$12)*COS(2*PI()*B75/100)+$J$12*COS(2*PI()*($L$12-$J$12)*B75/($J$12*100))</f>
        <v>-1.4622292940831041</v>
      </c>
      <c r="F75" s="2">
        <f t="shared" ref="F75:F111" si="11">($L$12-$J$12)*SIN(2*PI()*B75/100)-$J$12*SIN(2*PI()*($L$12-$J$12)*B75/($J$12*100))</f>
        <v>-2.5233137362802673</v>
      </c>
    </row>
    <row r="76" spans="2:6" x14ac:dyDescent="0.55000000000000004">
      <c r="B76" s="1">
        <v>65</v>
      </c>
      <c r="C76" s="1">
        <f t="shared" si="8"/>
        <v>-1.5421240147949451</v>
      </c>
      <c r="D76" s="9">
        <f t="shared" si="9"/>
        <v>-2.6482827252073169</v>
      </c>
      <c r="E76" s="2">
        <f t="shared" si="10"/>
        <v>-1.4845874989598937</v>
      </c>
      <c r="F76" s="2">
        <f t="shared" si="11"/>
        <v>-2.5690905050450485</v>
      </c>
    </row>
    <row r="77" spans="2:6" x14ac:dyDescent="0.55000000000000004">
      <c r="B77" s="1">
        <v>66</v>
      </c>
      <c r="C77" s="1">
        <f t="shared" si="8"/>
        <v>-1.5058831901672969</v>
      </c>
      <c r="D77" s="9">
        <f t="shared" si="9"/>
        <v>-2.6067984592322713</v>
      </c>
      <c r="E77" s="2">
        <f t="shared" si="10"/>
        <v>-1.497432881523066</v>
      </c>
      <c r="F77" s="2">
        <f t="shared" si="11"/>
        <v>-2.5934829034700497</v>
      </c>
    </row>
    <row r="78" spans="2:6" x14ac:dyDescent="0.55000000000000004">
      <c r="B78" s="1">
        <v>67</v>
      </c>
      <c r="C78" s="1">
        <f t="shared" si="8"/>
        <v>-1.5012354048417884</v>
      </c>
      <c r="D78" s="9">
        <f t="shared" si="9"/>
        <v>-2.6003996677094348</v>
      </c>
      <c r="E78" s="2">
        <f t="shared" si="10"/>
        <v>-1.4993341431824272</v>
      </c>
      <c r="F78" s="2">
        <f t="shared" si="11"/>
        <v>-2.5969412855897422</v>
      </c>
    </row>
    <row r="79" spans="2:6" x14ac:dyDescent="0.55000000000000004">
      <c r="B79" s="1">
        <v>68</v>
      </c>
      <c r="C79" s="1">
        <f t="shared" si="8"/>
        <v>-1.5157358516745663</v>
      </c>
      <c r="D79" s="9">
        <f t="shared" si="9"/>
        <v>-2.6370209591353904</v>
      </c>
      <c r="E79" s="2">
        <f t="shared" si="10"/>
        <v>-1.4889825728788348</v>
      </c>
      <c r="F79" s="2">
        <f t="shared" si="11"/>
        <v>-2.5801673477078282</v>
      </c>
    </row>
    <row r="80" spans="2:6" x14ac:dyDescent="0.55000000000000004">
      <c r="B80" s="1">
        <v>69</v>
      </c>
      <c r="C80" s="1">
        <f t="shared" si="8"/>
        <v>-1.5352887302680254</v>
      </c>
      <c r="D80" s="9">
        <f t="shared" si="9"/>
        <v>-2.7210792151247345</v>
      </c>
      <c r="E80" s="2">
        <f t="shared" si="10"/>
        <v>-1.4652177327907674</v>
      </c>
      <c r="F80" s="2">
        <f t="shared" si="11"/>
        <v>-2.5441000777051914</v>
      </c>
    </row>
    <row r="81" spans="2:6" x14ac:dyDescent="0.55000000000000004">
      <c r="B81" s="1">
        <v>70</v>
      </c>
      <c r="C81" s="1">
        <f t="shared" si="8"/>
        <v>-1.545084971874737</v>
      </c>
      <c r="D81" s="9">
        <f t="shared" si="9"/>
        <v>-2.8531695488854605</v>
      </c>
      <c r="E81" s="2">
        <f t="shared" si="10"/>
        <v>-1.4270509831248424</v>
      </c>
      <c r="F81" s="2">
        <f t="shared" si="11"/>
        <v>-2.4898982848827806</v>
      </c>
    </row>
    <row r="82" spans="2:6" x14ac:dyDescent="0.55000000000000004">
      <c r="B82" s="1">
        <v>71</v>
      </c>
      <c r="C82" s="1">
        <f t="shared" si="8"/>
        <v>-1.5305863436384155</v>
      </c>
      <c r="D82" s="9">
        <f t="shared" si="9"/>
        <v>-3.0300047190125103</v>
      </c>
      <c r="E82" s="2">
        <f t="shared" si="10"/>
        <v>-1.3736864543735727</v>
      </c>
      <c r="F82" s="2">
        <f t="shared" si="11"/>
        <v>-2.4189199963589769</v>
      </c>
    </row>
    <row r="83" spans="2:6" x14ac:dyDescent="0.55000000000000004">
      <c r="B83" s="1">
        <v>72</v>
      </c>
      <c r="C83" s="1">
        <f t="shared" si="8"/>
        <v>-1.4784938857643102</v>
      </c>
      <c r="D83" s="9">
        <f t="shared" si="9"/>
        <v>-3.2446018969860662</v>
      </c>
      <c r="E83" s="2">
        <f t="shared" si="10"/>
        <v>-1.3045391150597008</v>
      </c>
      <c r="F83" s="2">
        <f t="shared" si="11"/>
        <v>-2.3326990541420556</v>
      </c>
    </row>
    <row r="84" spans="2:6" x14ac:dyDescent="0.55000000000000004">
      <c r="B84" s="1">
        <v>73</v>
      </c>
      <c r="C84" s="1">
        <f t="shared" si="8"/>
        <v>-1.3776396143010814</v>
      </c>
      <c r="D84" s="9">
        <f t="shared" si="9"/>
        <v>-3.4867051311561945</v>
      </c>
      <c r="E84" s="2">
        <f t="shared" si="10"/>
        <v>-1.21924962825724</v>
      </c>
      <c r="F84" s="2">
        <f t="shared" si="11"/>
        <v>-2.232919289793811</v>
      </c>
    </row>
    <row r="85" spans="2:6" x14ac:dyDescent="0.55000000000000004">
      <c r="B85" s="1">
        <v>74</v>
      </c>
      <c r="C85" s="1">
        <f t="shared" si="8"/>
        <v>-1.2197452392458841</v>
      </c>
      <c r="D85" s="9">
        <f t="shared" si="9"/>
        <v>-3.7434170265482321</v>
      </c>
      <c r="E85" s="2">
        <f t="shared" si="10"/>
        <v>-1.1176957403731043</v>
      </c>
      <c r="F85" s="2">
        <f t="shared" si="11"/>
        <v>-2.1213866904208469</v>
      </c>
    </row>
    <row r="86" spans="2:6" x14ac:dyDescent="0.55000000000000004">
      <c r="B86" s="1">
        <v>75</v>
      </c>
      <c r="C86" s="1">
        <f t="shared" si="8"/>
        <v>-1.0000000000000007</v>
      </c>
      <c r="D86" s="9">
        <f t="shared" si="9"/>
        <v>-3.9999999999999991</v>
      </c>
      <c r="E86" s="2">
        <f t="shared" si="10"/>
        <v>-1.0000000000000004</v>
      </c>
      <c r="F86" s="2">
        <f t="shared" si="11"/>
        <v>-2.0000000000000004</v>
      </c>
    </row>
    <row r="87" spans="2:6" x14ac:dyDescent="0.55000000000000004">
      <c r="B87" s="1">
        <v>76</v>
      </c>
      <c r="C87" s="1">
        <f t="shared" si="8"/>
        <v>-0.7174210830113803</v>
      </c>
      <c r="D87" s="9">
        <f t="shared" si="9"/>
        <v>-4.2407968008779386</v>
      </c>
      <c r="E87" s="2">
        <f t="shared" si="10"/>
        <v>-0.86653366225585238</v>
      </c>
      <c r="F87" s="2">
        <f t="shared" si="11"/>
        <v>-1.87072022329224</v>
      </c>
    </row>
    <row r="88" spans="2:6" x14ac:dyDescent="0.55000000000000004">
      <c r="B88" s="1">
        <v>77</v>
      </c>
      <c r="C88" s="1">
        <f t="shared" si="8"/>
        <v>-0.37497374578664666</v>
      </c>
      <c r="D88" s="9">
        <f t="shared" si="9"/>
        <v>-4.4502124793596263</v>
      </c>
      <c r="E88" s="2">
        <f t="shared" si="10"/>
        <v>-0.71791669400002256</v>
      </c>
      <c r="F88" s="2">
        <f t="shared" si="11"/>
        <v>-1.7355395154641009</v>
      </c>
    </row>
    <row r="89" spans="2:6" x14ac:dyDescent="0.55000000000000004">
      <c r="B89" s="1">
        <v>78</v>
      </c>
      <c r="C89" s="1">
        <f t="shared" si="8"/>
        <v>2.055663092148452E-2</v>
      </c>
      <c r="D89" s="9">
        <f t="shared" si="9"/>
        <v>-4.6136961088434427</v>
      </c>
      <c r="E89" s="2">
        <f t="shared" si="10"/>
        <v>-0.55501385671680314</v>
      </c>
      <c r="F89" s="2">
        <f t="shared" si="11"/>
        <v>-1.5964499487727002</v>
      </c>
    </row>
    <row r="90" spans="2:6" x14ac:dyDescent="0.55000000000000004">
      <c r="B90" s="1">
        <v>79</v>
      </c>
      <c r="C90" s="1">
        <f t="shared" si="8"/>
        <v>0.45893275368042363</v>
      </c>
      <c r="D90" s="9">
        <f t="shared" si="9"/>
        <v>-4.7186605700165396</v>
      </c>
      <c r="E90" s="2">
        <f t="shared" si="10"/>
        <v>-0.37892690571415361</v>
      </c>
      <c r="F90" s="2">
        <f t="shared" si="11"/>
        <v>-1.4554126481555465</v>
      </c>
    </row>
    <row r="91" spans="2:6" x14ac:dyDescent="0.55000000000000004">
      <c r="B91" s="1">
        <v>80</v>
      </c>
      <c r="C91" s="1">
        <f t="shared" si="8"/>
        <v>0.9270509831248408</v>
      </c>
      <c r="D91" s="9">
        <f t="shared" si="9"/>
        <v>-4.7552825814757682</v>
      </c>
      <c r="E91" s="2">
        <f t="shared" si="10"/>
        <v>-0.19098300562505321</v>
      </c>
      <c r="F91" s="2">
        <f t="shared" si="11"/>
        <v>-1.3143277802978344</v>
      </c>
    </row>
    <row r="92" spans="2:6" x14ac:dyDescent="0.55000000000000004">
      <c r="B92" s="1">
        <v>81</v>
      </c>
      <c r="C92" s="1">
        <f t="shared" si="8"/>
        <v>1.4097076912093942</v>
      </c>
      <c r="D92" s="9">
        <f t="shared" si="9"/>
        <v>-4.7171326719812781</v>
      </c>
      <c r="E92" s="2">
        <f t="shared" si="10"/>
        <v>7.2804779479425097E-3</v>
      </c>
      <c r="F92" s="2">
        <f t="shared" si="11"/>
        <v>-1.1750058658478153</v>
      </c>
    </row>
    <row r="93" spans="2:6" x14ac:dyDescent="0.55000000000000004">
      <c r="B93" s="1">
        <v>82</v>
      </c>
      <c r="C93" s="1">
        <f t="shared" si="8"/>
        <v>1.8904984808460084</v>
      </c>
      <c r="D93" s="9">
        <f t="shared" si="9"/>
        <v>-4.6015954605927689</v>
      </c>
      <c r="E93" s="2">
        <f t="shared" si="10"/>
        <v>0.21413459338145258</v>
      </c>
      <c r="F93" s="2">
        <f t="shared" si="11"/>
        <v>-1.0391408621562519</v>
      </c>
    </row>
    <row r="94" spans="2:6" x14ac:dyDescent="0.55000000000000004">
      <c r="B94" s="1">
        <v>83</v>
      </c>
      <c r="C94" s="1">
        <f t="shared" si="8"/>
        <v>2.3527939879719373</v>
      </c>
      <c r="D94" s="9">
        <f t="shared" si="9"/>
        <v>-4.4100537726414721</v>
      </c>
      <c r="E94" s="2">
        <f t="shared" si="10"/>
        <v>0.42768055322443566</v>
      </c>
      <c r="F94" s="2">
        <f t="shared" si="11"/>
        <v>-0.90828543458571109</v>
      </c>
    </row>
    <row r="95" spans="2:6" x14ac:dyDescent="0.55000000000000004">
      <c r="B95" s="1">
        <v>84</v>
      </c>
      <c r="C95" s="1">
        <f t="shared" si="8"/>
        <v>2.7807311696646773</v>
      </c>
      <c r="D95" s="9">
        <f t="shared" si="9"/>
        <v>-4.1478249447838484</v>
      </c>
      <c r="E95" s="2">
        <f t="shared" si="10"/>
        <v>0.6458742983929211</v>
      </c>
      <c r="F95" s="2">
        <f t="shared" si="11"/>
        <v>-0.78382879853801024</v>
      </c>
    </row>
    <row r="96" spans="2:6" x14ac:dyDescent="0.55000000000000004">
      <c r="B96" s="1">
        <v>85</v>
      </c>
      <c r="C96" s="1">
        <f t="shared" si="8"/>
        <v>3.1601580035448387</v>
      </c>
      <c r="D96" s="9">
        <f t="shared" si="9"/>
        <v>-3.8238532297922641</v>
      </c>
      <c r="E96" s="2">
        <f t="shared" si="10"/>
        <v>0.86655351020999793</v>
      </c>
      <c r="F96" s="2">
        <f t="shared" si="11"/>
        <v>-0.6669774724547417</v>
      </c>
    </row>
    <row r="97" spans="2:6" x14ac:dyDescent="0.55000000000000004">
      <c r="B97" s="1">
        <v>86</v>
      </c>
      <c r="C97" s="1">
        <f t="shared" si="8"/>
        <v>3.4794724448830077</v>
      </c>
      <c r="D97" s="9">
        <f t="shared" si="9"/>
        <v>-3.4501775237878385</v>
      </c>
      <c r="E97" s="2">
        <f t="shared" si="10"/>
        <v>1.0874666649116529</v>
      </c>
      <c r="F97" s="2">
        <f t="shared" si="11"/>
        <v>-0.55873923482289067</v>
      </c>
    </row>
    <row r="98" spans="2:6" x14ac:dyDescent="0.55000000000000004">
      <c r="B98" s="1">
        <v>87</v>
      </c>
      <c r="C98" s="1">
        <f t="shared" si="8"/>
        <v>3.7303031250292289</v>
      </c>
      <c r="D98" s="9">
        <f t="shared" si="9"/>
        <v>-3.0412077432499562</v>
      </c>
      <c r="E98" s="2">
        <f t="shared" si="10"/>
        <v>1.3063036923280607</v>
      </c>
      <c r="F98" s="2">
        <f t="shared" si="11"/>
        <v>-0.45991052641455277</v>
      </c>
    </row>
    <row r="99" spans="2:6" x14ac:dyDescent="0.55000000000000004">
      <c r="B99" s="1">
        <v>88</v>
      </c>
      <c r="C99" s="1">
        <f t="shared" si="8"/>
        <v>3.9079892110001229</v>
      </c>
      <c r="D99" s="9">
        <f t="shared" si="9"/>
        <v>-2.6128551901504533</v>
      </c>
      <c r="E99" s="2">
        <f t="shared" si="10"/>
        <v>1.520727774372135</v>
      </c>
      <c r="F99" s="2">
        <f t="shared" si="11"/>
        <v>-0.37106748342910634</v>
      </c>
    </row>
    <row r="100" spans="2:6" x14ac:dyDescent="0.55000000000000004">
      <c r="B100" s="1">
        <v>89</v>
      </c>
      <c r="C100" s="1">
        <f t="shared" si="8"/>
        <v>4.0118294569914088</v>
      </c>
      <c r="D100" s="9">
        <f t="shared" si="9"/>
        <v>-2.1815714063100802</v>
      </c>
      <c r="E100" s="2">
        <f t="shared" si="10"/>
        <v>1.7284078001373036</v>
      </c>
      <c r="F100" s="2">
        <f t="shared" si="11"/>
        <v>-0.29256072876869066</v>
      </c>
    </row>
    <row r="101" spans="2:6" x14ac:dyDescent="0.55000000000000004">
      <c r="B101" s="1">
        <v>90</v>
      </c>
      <c r="C101" s="1">
        <f t="shared" si="8"/>
        <v>4.0450849718747373</v>
      </c>
      <c r="D101" s="9">
        <f t="shared" si="9"/>
        <v>-1.763355756877421</v>
      </c>
      <c r="E101" s="2">
        <f t="shared" si="10"/>
        <v>1.9270509831248417</v>
      </c>
      <c r="F101" s="2">
        <f t="shared" si="11"/>
        <v>-0.22451398828979297</v>
      </c>
    </row>
    <row r="102" spans="2:6" x14ac:dyDescent="0.55000000000000004">
      <c r="B102" s="1">
        <v>91</v>
      </c>
      <c r="C102" s="1">
        <f t="shared" si="8"/>
        <v>4.0147356917567505</v>
      </c>
      <c r="D102" s="9">
        <f t="shared" si="9"/>
        <v>-1.3727939371402007</v>
      </c>
      <c r="E102" s="2">
        <f t="shared" si="10"/>
        <v>2.1144351425691013</v>
      </c>
      <c r="F102" s="2">
        <f t="shared" si="11"/>
        <v>-0.16682653749197418</v>
      </c>
    </row>
    <row r="103" spans="2:6" x14ac:dyDescent="0.55000000000000004">
      <c r="B103" s="1">
        <v>92</v>
      </c>
      <c r="C103" s="1">
        <f t="shared" si="8"/>
        <v>3.9310060117405285</v>
      </c>
      <c r="D103" s="9">
        <f t="shared" si="9"/>
        <v>-1.0221876439408466</v>
      </c>
      <c r="E103" s="2">
        <f t="shared" si="10"/>
        <v>2.2884401550667213</v>
      </c>
      <c r="F103" s="2">
        <f t="shared" si="11"/>
        <v>-0.11917942270141613</v>
      </c>
    </row>
    <row r="104" spans="2:6" x14ac:dyDescent="0.55000000000000004">
      <c r="B104" s="1">
        <v>93</v>
      </c>
      <c r="C104" s="1">
        <f t="shared" si="8"/>
        <v>3.8066895244498036</v>
      </c>
      <c r="D104" s="9">
        <f t="shared" si="9"/>
        <v>-0.72082991553160358</v>
      </c>
      <c r="E104" s="2">
        <f t="shared" si="10"/>
        <v>2.4470780946807276</v>
      </c>
      <c r="F104" s="2">
        <f t="shared" si="11"/>
        <v>-8.1045340354356288E-2</v>
      </c>
    </row>
    <row r="105" spans="2:6" x14ac:dyDescent="0.55000000000000004">
      <c r="B105" s="1">
        <v>94</v>
      </c>
      <c r="C105" s="1">
        <f t="shared" si="8"/>
        <v>3.6563154240236919</v>
      </c>
      <c r="D105" s="9">
        <f t="shared" si="9"/>
        <v>-0.4744714823104399</v>
      </c>
      <c r="E105" s="2">
        <f t="shared" si="10"/>
        <v>2.5885215991979145</v>
      </c>
      <c r="F105" s="2">
        <f t="shared" si="11"/>
        <v>-5.1701999440667223E-2</v>
      </c>
    </row>
    <row r="106" spans="2:6" x14ac:dyDescent="0.55000000000000004">
      <c r="B106" s="1">
        <v>95</v>
      </c>
      <c r="C106" s="1">
        <f t="shared" si="8"/>
        <v>3.4952090708056676</v>
      </c>
      <c r="D106" s="9">
        <f t="shared" si="9"/>
        <v>-0.28501146120463661</v>
      </c>
      <c r="E106" s="2">
        <f t="shared" si="10"/>
        <v>2.7111300269652543</v>
      </c>
      <c r="F106" s="2">
        <f t="shared" si="11"/>
        <v>-3.0248736457421765E-2</v>
      </c>
    </row>
    <row r="107" spans="2:6" x14ac:dyDescent="0.55000000000000004">
      <c r="B107" s="1">
        <v>96</v>
      </c>
      <c r="C107" s="1">
        <f t="shared" ref="C107:C138" si="12">($J$10+$L$10)*COS(2*PI()*B107/100)-$J$10*COS(2*PI()*($J$10+$L$10)*B107/($J$10*100))</f>
        <v>3.3385058495355291</v>
      </c>
      <c r="D107" s="9">
        <f t="shared" si="9"/>
        <v>-0.1504316231574051</v>
      </c>
      <c r="E107" s="2">
        <f t="shared" si="10"/>
        <v>2.8134730023011247</v>
      </c>
      <c r="F107" s="2">
        <f t="shared" si="11"/>
        <v>-1.5626100227994377E-2</v>
      </c>
    </row>
    <row r="108" spans="2:6" x14ac:dyDescent="0.55000000000000004">
      <c r="B108" s="1">
        <v>97</v>
      </c>
      <c r="C108" s="1">
        <f t="shared" si="12"/>
        <v>3.2001803754933436</v>
      </c>
      <c r="D108" s="9">
        <f t="shared" si="9"/>
        <v>-6.49781524142099E-2</v>
      </c>
      <c r="E108" s="2">
        <f t="shared" si="10"/>
        <v>2.8943509873456286</v>
      </c>
      <c r="F108" s="2">
        <f t="shared" si="11"/>
        <v>-6.6380764867712827E-3</v>
      </c>
    </row>
    <row r="109" spans="2:6" x14ac:dyDescent="0.55000000000000004">
      <c r="B109" s="1">
        <v>98</v>
      </c>
      <c r="C109" s="1">
        <f t="shared" si="12"/>
        <v>3.0921521252140485</v>
      </c>
      <c r="D109" s="9">
        <f t="shared" si="9"/>
        <v>-1.9579260155501821E-2</v>
      </c>
      <c r="E109" s="2">
        <f t="shared" si="10"/>
        <v>2.9528125637575866</v>
      </c>
      <c r="F109" s="2">
        <f t="shared" si="11"/>
        <v>-1.976579963753694E-3</v>
      </c>
    </row>
    <row r="110" spans="2:6" x14ac:dyDescent="0.55000000000000004">
      <c r="B110" s="1">
        <v>99</v>
      </c>
      <c r="C110" s="1">
        <f t="shared" si="12"/>
        <v>3.0235237525844552</v>
      </c>
      <c r="D110" s="9">
        <f t="shared" si="9"/>
        <v>-2.4721909523987007E-3</v>
      </c>
      <c r="E110" s="2">
        <f t="shared" si="10"/>
        <v>2.9881681581710211</v>
      </c>
      <c r="F110" s="2">
        <f t="shared" si="11"/>
        <v>-2.4780549432251719E-4</v>
      </c>
    </row>
    <row r="111" spans="2:6" ht="18.5" thickBot="1" x14ac:dyDescent="0.6">
      <c r="B111" s="3">
        <v>100</v>
      </c>
      <c r="C111" s="3">
        <f t="shared" si="12"/>
        <v>3</v>
      </c>
      <c r="D111" s="10">
        <f t="shared" si="9"/>
        <v>0</v>
      </c>
      <c r="E111" s="4">
        <f t="shared" si="10"/>
        <v>3</v>
      </c>
      <c r="F111" s="4">
        <f t="shared" si="11"/>
        <v>0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78F57-5B5C-4AF8-BCCC-EBCFF6AF8528}">
  <dimension ref="B8:G110"/>
  <sheetViews>
    <sheetView workbookViewId="0">
      <selection activeCell="B9" sqref="B9"/>
    </sheetView>
  </sheetViews>
  <sheetFormatPr defaultRowHeight="18" x14ac:dyDescent="0.55000000000000004"/>
  <sheetData>
    <row r="8" spans="2:7" ht="18.5" thickBot="1" x14ac:dyDescent="0.6"/>
    <row r="9" spans="2:7" ht="18.5" thickBot="1" x14ac:dyDescent="0.6">
      <c r="B9" s="6" t="s">
        <v>4</v>
      </c>
      <c r="C9" s="8" t="s">
        <v>6</v>
      </c>
      <c r="D9" s="7" t="s">
        <v>7</v>
      </c>
      <c r="F9" s="11" t="s">
        <v>15</v>
      </c>
      <c r="G9" s="5">
        <v>3</v>
      </c>
    </row>
    <row r="10" spans="2:7" ht="18.5" thickBot="1" x14ac:dyDescent="0.6">
      <c r="B10" s="1">
        <v>0</v>
      </c>
      <c r="C10" s="9"/>
      <c r="D10" s="2"/>
      <c r="F10" s="19" t="s">
        <v>16</v>
      </c>
      <c r="G10" s="4">
        <v>2</v>
      </c>
    </row>
    <row r="11" spans="2:7" ht="18.5" thickBot="1" x14ac:dyDescent="0.6">
      <c r="B11" s="1">
        <v>1</v>
      </c>
      <c r="C11" s="9"/>
      <c r="D11" s="2"/>
      <c r="F11" s="11" t="s">
        <v>17</v>
      </c>
      <c r="G11" s="5"/>
    </row>
    <row r="12" spans="2:7" x14ac:dyDescent="0.55000000000000004">
      <c r="B12" s="1">
        <v>2</v>
      </c>
      <c r="C12" s="9"/>
      <c r="D12" s="2"/>
    </row>
    <row r="13" spans="2:7" x14ac:dyDescent="0.55000000000000004">
      <c r="B13" s="1">
        <v>3</v>
      </c>
      <c r="C13" s="9"/>
      <c r="D13" s="2"/>
    </row>
    <row r="14" spans="2:7" x14ac:dyDescent="0.55000000000000004">
      <c r="B14" s="1">
        <v>4</v>
      </c>
      <c r="C14" s="9"/>
      <c r="D14" s="2"/>
    </row>
    <row r="15" spans="2:7" x14ac:dyDescent="0.55000000000000004">
      <c r="B15" s="1">
        <v>5</v>
      </c>
      <c r="C15" s="9"/>
      <c r="D15" s="2"/>
    </row>
    <row r="16" spans="2:7" x14ac:dyDescent="0.55000000000000004">
      <c r="B16" s="1">
        <v>6</v>
      </c>
      <c r="C16" s="9"/>
      <c r="D16" s="2"/>
    </row>
    <row r="17" spans="2:4" x14ac:dyDescent="0.55000000000000004">
      <c r="B17" s="1">
        <v>7</v>
      </c>
      <c r="C17" s="9"/>
      <c r="D17" s="2"/>
    </row>
    <row r="18" spans="2:4" x14ac:dyDescent="0.55000000000000004">
      <c r="B18" s="1">
        <v>8</v>
      </c>
      <c r="C18" s="9"/>
      <c r="D18" s="2"/>
    </row>
    <row r="19" spans="2:4" x14ac:dyDescent="0.55000000000000004">
      <c r="B19" s="1">
        <v>9</v>
      </c>
      <c r="C19" s="9"/>
      <c r="D19" s="2"/>
    </row>
    <row r="20" spans="2:4" x14ac:dyDescent="0.55000000000000004">
      <c r="B20" s="1">
        <v>10</v>
      </c>
      <c r="C20" s="9"/>
      <c r="D20" s="2"/>
    </row>
    <row r="21" spans="2:4" x14ac:dyDescent="0.55000000000000004">
      <c r="B21" s="1">
        <v>11</v>
      </c>
      <c r="C21" s="9"/>
      <c r="D21" s="2"/>
    </row>
    <row r="22" spans="2:4" x14ac:dyDescent="0.55000000000000004">
      <c r="B22" s="1">
        <v>12</v>
      </c>
      <c r="C22" s="9"/>
      <c r="D22" s="2"/>
    </row>
    <row r="23" spans="2:4" x14ac:dyDescent="0.55000000000000004">
      <c r="B23" s="1">
        <v>13</v>
      </c>
      <c r="C23" s="9"/>
      <c r="D23" s="2"/>
    </row>
    <row r="24" spans="2:4" x14ac:dyDescent="0.55000000000000004">
      <c r="B24" s="1">
        <v>14</v>
      </c>
      <c r="C24" s="9"/>
      <c r="D24" s="2"/>
    </row>
    <row r="25" spans="2:4" x14ac:dyDescent="0.55000000000000004">
      <c r="B25" s="1">
        <v>15</v>
      </c>
      <c r="C25" s="9"/>
      <c r="D25" s="2"/>
    </row>
    <row r="26" spans="2:4" x14ac:dyDescent="0.55000000000000004">
      <c r="B26" s="1">
        <v>16</v>
      </c>
      <c r="C26" s="9"/>
      <c r="D26" s="2"/>
    </row>
    <row r="27" spans="2:4" x14ac:dyDescent="0.55000000000000004">
      <c r="B27" s="1">
        <v>17</v>
      </c>
      <c r="C27" s="9"/>
      <c r="D27" s="2"/>
    </row>
    <row r="28" spans="2:4" x14ac:dyDescent="0.55000000000000004">
      <c r="B28" s="1">
        <v>18</v>
      </c>
      <c r="C28" s="9"/>
      <c r="D28" s="2"/>
    </row>
    <row r="29" spans="2:4" x14ac:dyDescent="0.55000000000000004">
      <c r="B29" s="1">
        <v>19</v>
      </c>
      <c r="C29" s="9"/>
      <c r="D29" s="2"/>
    </row>
    <row r="30" spans="2:4" x14ac:dyDescent="0.55000000000000004">
      <c r="B30" s="1">
        <v>20</v>
      </c>
      <c r="C30" s="9"/>
      <c r="D30" s="2"/>
    </row>
    <row r="31" spans="2:4" x14ac:dyDescent="0.55000000000000004">
      <c r="B31" s="1">
        <v>21</v>
      </c>
      <c r="C31" s="9"/>
      <c r="D31" s="2"/>
    </row>
    <row r="32" spans="2:4" x14ac:dyDescent="0.55000000000000004">
      <c r="B32" s="1">
        <v>22</v>
      </c>
      <c r="C32" s="9"/>
      <c r="D32" s="2"/>
    </row>
    <row r="33" spans="2:4" x14ac:dyDescent="0.55000000000000004">
      <c r="B33" s="1">
        <v>23</v>
      </c>
      <c r="C33" s="9"/>
      <c r="D33" s="2"/>
    </row>
    <row r="34" spans="2:4" x14ac:dyDescent="0.55000000000000004">
      <c r="B34" s="1">
        <v>24</v>
      </c>
      <c r="C34" s="9"/>
      <c r="D34" s="2"/>
    </row>
    <row r="35" spans="2:4" x14ac:dyDescent="0.55000000000000004">
      <c r="B35" s="1">
        <v>25</v>
      </c>
      <c r="C35" s="9"/>
      <c r="D35" s="2"/>
    </row>
    <row r="36" spans="2:4" x14ac:dyDescent="0.55000000000000004">
      <c r="B36" s="1">
        <v>26</v>
      </c>
      <c r="C36" s="9"/>
      <c r="D36" s="2"/>
    </row>
    <row r="37" spans="2:4" x14ac:dyDescent="0.55000000000000004">
      <c r="B37" s="1">
        <v>27</v>
      </c>
      <c r="C37" s="9"/>
      <c r="D37" s="2"/>
    </row>
    <row r="38" spans="2:4" x14ac:dyDescent="0.55000000000000004">
      <c r="B38" s="1">
        <v>28</v>
      </c>
      <c r="C38" s="9"/>
      <c r="D38" s="2"/>
    </row>
    <row r="39" spans="2:4" x14ac:dyDescent="0.55000000000000004">
      <c r="B39" s="1">
        <v>29</v>
      </c>
      <c r="C39" s="9"/>
      <c r="D39" s="2"/>
    </row>
    <row r="40" spans="2:4" x14ac:dyDescent="0.55000000000000004">
      <c r="B40" s="1">
        <v>30</v>
      </c>
      <c r="C40" s="9"/>
      <c r="D40" s="2"/>
    </row>
    <row r="41" spans="2:4" x14ac:dyDescent="0.55000000000000004">
      <c r="B41" s="1">
        <v>31</v>
      </c>
      <c r="C41" s="9"/>
      <c r="D41" s="2"/>
    </row>
    <row r="42" spans="2:4" x14ac:dyDescent="0.55000000000000004">
      <c r="B42" s="1">
        <v>32</v>
      </c>
      <c r="C42" s="9"/>
      <c r="D42" s="2"/>
    </row>
    <row r="43" spans="2:4" x14ac:dyDescent="0.55000000000000004">
      <c r="B43" s="1">
        <v>33</v>
      </c>
      <c r="C43" s="9"/>
      <c r="D43" s="2"/>
    </row>
    <row r="44" spans="2:4" x14ac:dyDescent="0.55000000000000004">
      <c r="B44" s="1">
        <v>34</v>
      </c>
      <c r="C44" s="9"/>
      <c r="D44" s="2"/>
    </row>
    <row r="45" spans="2:4" x14ac:dyDescent="0.55000000000000004">
      <c r="B45" s="1">
        <v>35</v>
      </c>
      <c r="C45" s="9"/>
      <c r="D45" s="2"/>
    </row>
    <row r="46" spans="2:4" x14ac:dyDescent="0.55000000000000004">
      <c r="B46" s="1">
        <v>36</v>
      </c>
      <c r="C46" s="9"/>
      <c r="D46" s="2"/>
    </row>
    <row r="47" spans="2:4" x14ac:dyDescent="0.55000000000000004">
      <c r="B47" s="1">
        <v>37</v>
      </c>
      <c r="C47" s="9"/>
      <c r="D47" s="2"/>
    </row>
    <row r="48" spans="2:4" x14ac:dyDescent="0.55000000000000004">
      <c r="B48" s="1">
        <v>38</v>
      </c>
      <c r="C48" s="9"/>
      <c r="D48" s="2"/>
    </row>
    <row r="49" spans="2:4" x14ac:dyDescent="0.55000000000000004">
      <c r="B49" s="1">
        <v>39</v>
      </c>
      <c r="C49" s="9"/>
      <c r="D49" s="2"/>
    </row>
    <row r="50" spans="2:4" x14ac:dyDescent="0.55000000000000004">
      <c r="B50" s="1">
        <v>40</v>
      </c>
      <c r="C50" s="9"/>
      <c r="D50" s="2"/>
    </row>
    <row r="51" spans="2:4" x14ac:dyDescent="0.55000000000000004">
      <c r="B51" s="1">
        <v>41</v>
      </c>
      <c r="C51" s="9"/>
      <c r="D51" s="2"/>
    </row>
    <row r="52" spans="2:4" x14ac:dyDescent="0.55000000000000004">
      <c r="B52" s="1">
        <v>42</v>
      </c>
      <c r="C52" s="9"/>
      <c r="D52" s="2"/>
    </row>
    <row r="53" spans="2:4" x14ac:dyDescent="0.55000000000000004">
      <c r="B53" s="1">
        <v>43</v>
      </c>
      <c r="C53" s="9"/>
      <c r="D53" s="2"/>
    </row>
    <row r="54" spans="2:4" x14ac:dyDescent="0.55000000000000004">
      <c r="B54" s="1">
        <v>44</v>
      </c>
      <c r="C54" s="9"/>
      <c r="D54" s="2"/>
    </row>
    <row r="55" spans="2:4" x14ac:dyDescent="0.55000000000000004">
      <c r="B55" s="1">
        <v>45</v>
      </c>
      <c r="C55" s="9"/>
      <c r="D55" s="2"/>
    </row>
    <row r="56" spans="2:4" x14ac:dyDescent="0.55000000000000004">
      <c r="B56" s="1">
        <v>46</v>
      </c>
      <c r="C56" s="9"/>
      <c r="D56" s="2"/>
    </row>
    <row r="57" spans="2:4" x14ac:dyDescent="0.55000000000000004">
      <c r="B57" s="1">
        <v>47</v>
      </c>
      <c r="C57" s="9"/>
      <c r="D57" s="2"/>
    </row>
    <row r="58" spans="2:4" x14ac:dyDescent="0.55000000000000004">
      <c r="B58" s="1">
        <v>48</v>
      </c>
      <c r="C58" s="9"/>
      <c r="D58" s="2"/>
    </row>
    <row r="59" spans="2:4" x14ac:dyDescent="0.55000000000000004">
      <c r="B59" s="1">
        <v>49</v>
      </c>
      <c r="C59" s="9"/>
      <c r="D59" s="2"/>
    </row>
    <row r="60" spans="2:4" x14ac:dyDescent="0.55000000000000004">
      <c r="B60" s="1">
        <v>50</v>
      </c>
      <c r="C60" s="9"/>
      <c r="D60" s="2"/>
    </row>
    <row r="61" spans="2:4" x14ac:dyDescent="0.55000000000000004">
      <c r="B61" s="1">
        <v>51</v>
      </c>
      <c r="C61" s="9"/>
      <c r="D61" s="2"/>
    </row>
    <row r="62" spans="2:4" x14ac:dyDescent="0.55000000000000004">
      <c r="B62" s="1">
        <v>52</v>
      </c>
      <c r="C62" s="9"/>
      <c r="D62" s="2"/>
    </row>
    <row r="63" spans="2:4" x14ac:dyDescent="0.55000000000000004">
      <c r="B63" s="1">
        <v>53</v>
      </c>
      <c r="C63" s="9"/>
      <c r="D63" s="2"/>
    </row>
    <row r="64" spans="2:4" x14ac:dyDescent="0.55000000000000004">
      <c r="B64" s="1">
        <v>54</v>
      </c>
      <c r="C64" s="9"/>
      <c r="D64" s="2"/>
    </row>
    <row r="65" spans="2:4" x14ac:dyDescent="0.55000000000000004">
      <c r="B65" s="1">
        <v>55</v>
      </c>
      <c r="C65" s="9"/>
      <c r="D65" s="2"/>
    </row>
    <row r="66" spans="2:4" x14ac:dyDescent="0.55000000000000004">
      <c r="B66" s="1">
        <v>56</v>
      </c>
      <c r="C66" s="9"/>
      <c r="D66" s="2"/>
    </row>
    <row r="67" spans="2:4" x14ac:dyDescent="0.55000000000000004">
      <c r="B67" s="1">
        <v>57</v>
      </c>
      <c r="C67" s="9"/>
      <c r="D67" s="2"/>
    </row>
    <row r="68" spans="2:4" x14ac:dyDescent="0.55000000000000004">
      <c r="B68" s="1">
        <v>58</v>
      </c>
      <c r="C68" s="9"/>
      <c r="D68" s="2"/>
    </row>
    <row r="69" spans="2:4" x14ac:dyDescent="0.55000000000000004">
      <c r="B69" s="1">
        <v>59</v>
      </c>
      <c r="C69" s="9"/>
      <c r="D69" s="2"/>
    </row>
    <row r="70" spans="2:4" x14ac:dyDescent="0.55000000000000004">
      <c r="B70" s="1">
        <v>60</v>
      </c>
      <c r="C70" s="9"/>
      <c r="D70" s="2"/>
    </row>
    <row r="71" spans="2:4" x14ac:dyDescent="0.55000000000000004">
      <c r="B71" s="1">
        <v>61</v>
      </c>
      <c r="C71" s="9"/>
      <c r="D71" s="2"/>
    </row>
    <row r="72" spans="2:4" x14ac:dyDescent="0.55000000000000004">
      <c r="B72" s="1">
        <v>62</v>
      </c>
      <c r="C72" s="9"/>
      <c r="D72" s="2"/>
    </row>
    <row r="73" spans="2:4" x14ac:dyDescent="0.55000000000000004">
      <c r="B73" s="1">
        <v>63</v>
      </c>
      <c r="C73" s="9"/>
      <c r="D73" s="2"/>
    </row>
    <row r="74" spans="2:4" x14ac:dyDescent="0.55000000000000004">
      <c r="B74" s="1">
        <v>64</v>
      </c>
      <c r="C74" s="9"/>
      <c r="D74" s="2"/>
    </row>
    <row r="75" spans="2:4" x14ac:dyDescent="0.55000000000000004">
      <c r="B75" s="1">
        <v>65</v>
      </c>
      <c r="C75" s="9"/>
      <c r="D75" s="2"/>
    </row>
    <row r="76" spans="2:4" x14ac:dyDescent="0.55000000000000004">
      <c r="B76" s="1">
        <v>66</v>
      </c>
      <c r="C76" s="9"/>
      <c r="D76" s="2"/>
    </row>
    <row r="77" spans="2:4" x14ac:dyDescent="0.55000000000000004">
      <c r="B77" s="1">
        <v>67</v>
      </c>
      <c r="C77" s="9"/>
      <c r="D77" s="2"/>
    </row>
    <row r="78" spans="2:4" x14ac:dyDescent="0.55000000000000004">
      <c r="B78" s="1">
        <v>68</v>
      </c>
      <c r="C78" s="9"/>
      <c r="D78" s="2"/>
    </row>
    <row r="79" spans="2:4" x14ac:dyDescent="0.55000000000000004">
      <c r="B79" s="1">
        <v>69</v>
      </c>
      <c r="C79" s="9"/>
      <c r="D79" s="2"/>
    </row>
    <row r="80" spans="2:4" x14ac:dyDescent="0.55000000000000004">
      <c r="B80" s="1">
        <v>70</v>
      </c>
      <c r="C80" s="9"/>
      <c r="D80" s="2"/>
    </row>
    <row r="81" spans="2:4" x14ac:dyDescent="0.55000000000000004">
      <c r="B81" s="1">
        <v>71</v>
      </c>
      <c r="C81" s="9"/>
      <c r="D81" s="2"/>
    </row>
    <row r="82" spans="2:4" x14ac:dyDescent="0.55000000000000004">
      <c r="B82" s="1">
        <v>72</v>
      </c>
      <c r="C82" s="9"/>
      <c r="D82" s="2"/>
    </row>
    <row r="83" spans="2:4" x14ac:dyDescent="0.55000000000000004">
      <c r="B83" s="1">
        <v>73</v>
      </c>
      <c r="C83" s="9"/>
      <c r="D83" s="2"/>
    </row>
    <row r="84" spans="2:4" x14ac:dyDescent="0.55000000000000004">
      <c r="B84" s="1">
        <v>74</v>
      </c>
      <c r="C84" s="9"/>
      <c r="D84" s="2"/>
    </row>
    <row r="85" spans="2:4" x14ac:dyDescent="0.55000000000000004">
      <c r="B85" s="1">
        <v>75</v>
      </c>
      <c r="C85" s="9"/>
      <c r="D85" s="2"/>
    </row>
    <row r="86" spans="2:4" x14ac:dyDescent="0.55000000000000004">
      <c r="B86" s="1">
        <v>76</v>
      </c>
      <c r="C86" s="9"/>
      <c r="D86" s="2"/>
    </row>
    <row r="87" spans="2:4" x14ac:dyDescent="0.55000000000000004">
      <c r="B87" s="1">
        <v>77</v>
      </c>
      <c r="C87" s="9"/>
      <c r="D87" s="2"/>
    </row>
    <row r="88" spans="2:4" x14ac:dyDescent="0.55000000000000004">
      <c r="B88" s="1">
        <v>78</v>
      </c>
      <c r="C88" s="9"/>
      <c r="D88" s="2"/>
    </row>
    <row r="89" spans="2:4" x14ac:dyDescent="0.55000000000000004">
      <c r="B89" s="1">
        <v>79</v>
      </c>
      <c r="C89" s="9"/>
      <c r="D89" s="2"/>
    </row>
    <row r="90" spans="2:4" x14ac:dyDescent="0.55000000000000004">
      <c r="B90" s="1">
        <v>80</v>
      </c>
      <c r="C90" s="9"/>
      <c r="D90" s="2"/>
    </row>
    <row r="91" spans="2:4" x14ac:dyDescent="0.55000000000000004">
      <c r="B91" s="1">
        <v>81</v>
      </c>
      <c r="C91" s="9"/>
      <c r="D91" s="2"/>
    </row>
    <row r="92" spans="2:4" x14ac:dyDescent="0.55000000000000004">
      <c r="B92" s="1">
        <v>82</v>
      </c>
      <c r="C92" s="9"/>
      <c r="D92" s="2"/>
    </row>
    <row r="93" spans="2:4" x14ac:dyDescent="0.55000000000000004">
      <c r="B93" s="1">
        <v>83</v>
      </c>
      <c r="C93" s="9"/>
      <c r="D93" s="2"/>
    </row>
    <row r="94" spans="2:4" x14ac:dyDescent="0.55000000000000004">
      <c r="B94" s="1">
        <v>84</v>
      </c>
      <c r="C94" s="9"/>
      <c r="D94" s="2"/>
    </row>
    <row r="95" spans="2:4" x14ac:dyDescent="0.55000000000000004">
      <c r="B95" s="1">
        <v>85</v>
      </c>
      <c r="C95" s="9"/>
      <c r="D95" s="2"/>
    </row>
    <row r="96" spans="2:4" x14ac:dyDescent="0.55000000000000004">
      <c r="B96" s="1">
        <v>86</v>
      </c>
      <c r="C96" s="9"/>
      <c r="D96" s="2"/>
    </row>
    <row r="97" spans="2:4" x14ac:dyDescent="0.55000000000000004">
      <c r="B97" s="1">
        <v>87</v>
      </c>
      <c r="C97" s="9"/>
      <c r="D97" s="2"/>
    </row>
    <row r="98" spans="2:4" x14ac:dyDescent="0.55000000000000004">
      <c r="B98" s="1">
        <v>88</v>
      </c>
      <c r="C98" s="9"/>
      <c r="D98" s="2"/>
    </row>
    <row r="99" spans="2:4" x14ac:dyDescent="0.55000000000000004">
      <c r="B99" s="1">
        <v>89</v>
      </c>
      <c r="C99" s="9"/>
      <c r="D99" s="2"/>
    </row>
    <row r="100" spans="2:4" x14ac:dyDescent="0.55000000000000004">
      <c r="B100" s="1">
        <v>90</v>
      </c>
      <c r="C100" s="9"/>
      <c r="D100" s="2"/>
    </row>
    <row r="101" spans="2:4" x14ac:dyDescent="0.55000000000000004">
      <c r="B101" s="1">
        <v>91</v>
      </c>
      <c r="C101" s="9"/>
      <c r="D101" s="2"/>
    </row>
    <row r="102" spans="2:4" x14ac:dyDescent="0.55000000000000004">
      <c r="B102" s="1">
        <v>92</v>
      </c>
      <c r="C102" s="9"/>
      <c r="D102" s="2"/>
    </row>
    <row r="103" spans="2:4" x14ac:dyDescent="0.55000000000000004">
      <c r="B103" s="1">
        <v>93</v>
      </c>
      <c r="C103" s="9"/>
      <c r="D103" s="2"/>
    </row>
    <row r="104" spans="2:4" x14ac:dyDescent="0.55000000000000004">
      <c r="B104" s="1">
        <v>94</v>
      </c>
      <c r="C104" s="9"/>
      <c r="D104" s="2"/>
    </row>
    <row r="105" spans="2:4" x14ac:dyDescent="0.55000000000000004">
      <c r="B105" s="1">
        <v>95</v>
      </c>
      <c r="C105" s="9"/>
      <c r="D105" s="2"/>
    </row>
    <row r="106" spans="2:4" x14ac:dyDescent="0.55000000000000004">
      <c r="B106" s="1">
        <v>96</v>
      </c>
      <c r="C106" s="9"/>
      <c r="D106" s="2"/>
    </row>
    <row r="107" spans="2:4" x14ac:dyDescent="0.55000000000000004">
      <c r="B107" s="1">
        <v>97</v>
      </c>
      <c r="C107" s="9"/>
      <c r="D107" s="2"/>
    </row>
    <row r="108" spans="2:4" x14ac:dyDescent="0.55000000000000004">
      <c r="B108" s="1">
        <v>98</v>
      </c>
      <c r="C108" s="9"/>
      <c r="D108" s="2"/>
    </row>
    <row r="109" spans="2:4" x14ac:dyDescent="0.55000000000000004">
      <c r="B109" s="1">
        <v>99</v>
      </c>
      <c r="C109" s="9"/>
      <c r="D109" s="2"/>
    </row>
    <row r="110" spans="2:4" ht="18.5" thickBot="1" x14ac:dyDescent="0.6">
      <c r="B110" s="3">
        <v>100</v>
      </c>
      <c r="C110" s="10"/>
      <c r="D110" s="4"/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A01E-99BA-4C2F-85A8-3530011091E1}">
  <sheetPr>
    <tabColor rgb="FFFF0000"/>
  </sheetPr>
  <dimension ref="B8:G110"/>
  <sheetViews>
    <sheetView workbookViewId="0">
      <selection activeCell="B9" sqref="B9"/>
    </sheetView>
  </sheetViews>
  <sheetFormatPr defaultRowHeight="18" x14ac:dyDescent="0.55000000000000004"/>
  <sheetData>
    <row r="8" spans="2:7" ht="18.5" thickBot="1" x14ac:dyDescent="0.6"/>
    <row r="9" spans="2:7" ht="18.5" thickBot="1" x14ac:dyDescent="0.6">
      <c r="B9" s="6" t="s">
        <v>4</v>
      </c>
      <c r="C9" s="8" t="s">
        <v>6</v>
      </c>
      <c r="D9" s="7" t="s">
        <v>7</v>
      </c>
      <c r="F9" s="11" t="s">
        <v>15</v>
      </c>
      <c r="G9" s="5">
        <v>3</v>
      </c>
    </row>
    <row r="10" spans="2:7" ht="18.5" thickBot="1" x14ac:dyDescent="0.6">
      <c r="B10" s="1">
        <v>0</v>
      </c>
      <c r="C10" s="9">
        <f>COS(2*PI()*B10*$G$9*$G$11/100)</f>
        <v>1</v>
      </c>
      <c r="D10" s="2">
        <f>SIN(2*PI()*B10*$G$10*$G$11/100)</f>
        <v>0</v>
      </c>
      <c r="F10" s="19" t="s">
        <v>16</v>
      </c>
      <c r="G10" s="4">
        <v>2</v>
      </c>
    </row>
    <row r="11" spans="2:7" ht="18.5" thickBot="1" x14ac:dyDescent="0.6">
      <c r="B11" s="1">
        <v>1</v>
      </c>
      <c r="C11" s="9">
        <f t="shared" ref="C11:C74" si="0">COS(2*PI()*B11*$G$9*$G$11/100)</f>
        <v>0.98228725072868872</v>
      </c>
      <c r="D11" s="2">
        <f t="shared" ref="D11:D74" si="1">SIN(2*PI()*B11*$G$10*$G$11/100)</f>
        <v>0.12533323356430426</v>
      </c>
      <c r="F11" s="11" t="s">
        <v>17</v>
      </c>
      <c r="G11" s="5">
        <v>1</v>
      </c>
    </row>
    <row r="12" spans="2:7" x14ac:dyDescent="0.55000000000000004">
      <c r="B12" s="1">
        <v>2</v>
      </c>
      <c r="C12" s="9">
        <f t="shared" si="0"/>
        <v>0.92977648588825146</v>
      </c>
      <c r="D12" s="2">
        <f t="shared" si="1"/>
        <v>0.24868988716485479</v>
      </c>
      <c r="G12" s="21"/>
    </row>
    <row r="13" spans="2:7" x14ac:dyDescent="0.55000000000000004">
      <c r="B13" s="1">
        <v>3</v>
      </c>
      <c r="C13" s="9">
        <f t="shared" si="0"/>
        <v>0.84432792550201508</v>
      </c>
      <c r="D13" s="2">
        <f t="shared" si="1"/>
        <v>0.36812455268467792</v>
      </c>
    </row>
    <row r="14" spans="2:7" x14ac:dyDescent="0.55000000000000004">
      <c r="B14" s="1">
        <v>4</v>
      </c>
      <c r="C14" s="9">
        <f t="shared" si="0"/>
        <v>0.72896862742141155</v>
      </c>
      <c r="D14" s="2">
        <f t="shared" si="1"/>
        <v>0.48175367410171532</v>
      </c>
    </row>
    <row r="15" spans="2:7" x14ac:dyDescent="0.55000000000000004">
      <c r="B15" s="1">
        <v>5</v>
      </c>
      <c r="C15" s="9">
        <f t="shared" si="0"/>
        <v>0.58778525229247325</v>
      </c>
      <c r="D15" s="2">
        <f t="shared" si="1"/>
        <v>0.58778525229247314</v>
      </c>
    </row>
    <row r="16" spans="2:7" x14ac:dyDescent="0.55000000000000004">
      <c r="B16" s="1">
        <v>6</v>
      </c>
      <c r="C16" s="9">
        <f t="shared" si="0"/>
        <v>0.42577929156507266</v>
      </c>
      <c r="D16" s="2">
        <f t="shared" si="1"/>
        <v>0.68454710592868862</v>
      </c>
    </row>
    <row r="17" spans="2:4" x14ac:dyDescent="0.55000000000000004">
      <c r="B17" s="1">
        <v>7</v>
      </c>
      <c r="C17" s="9">
        <f t="shared" si="0"/>
        <v>0.24868988716485474</v>
      </c>
      <c r="D17" s="2">
        <f t="shared" si="1"/>
        <v>0.77051324277578925</v>
      </c>
    </row>
    <row r="18" spans="2:4" x14ac:dyDescent="0.55000000000000004">
      <c r="B18" s="1">
        <v>8</v>
      </c>
      <c r="C18" s="9">
        <f t="shared" si="0"/>
        <v>6.2790519529313527E-2</v>
      </c>
      <c r="D18" s="2">
        <f t="shared" si="1"/>
        <v>0.84432792550201508</v>
      </c>
    </row>
    <row r="19" spans="2:4" x14ac:dyDescent="0.55000000000000004">
      <c r="B19" s="1">
        <v>9</v>
      </c>
      <c r="C19" s="9">
        <f t="shared" si="0"/>
        <v>-0.12533323356430415</v>
      </c>
      <c r="D19" s="2">
        <f t="shared" si="1"/>
        <v>0.90482705246601958</v>
      </c>
    </row>
    <row r="20" spans="2:4" x14ac:dyDescent="0.55000000000000004">
      <c r="B20" s="1">
        <v>10</v>
      </c>
      <c r="C20" s="9">
        <f t="shared" si="0"/>
        <v>-0.30901699437494712</v>
      </c>
      <c r="D20" s="2">
        <f t="shared" si="1"/>
        <v>0.95105651629515353</v>
      </c>
    </row>
    <row r="21" spans="2:4" x14ac:dyDescent="0.55000000000000004">
      <c r="B21" s="1">
        <v>11</v>
      </c>
      <c r="C21" s="9">
        <f t="shared" si="0"/>
        <v>-0.48175367410171505</v>
      </c>
      <c r="D21" s="2">
        <f t="shared" si="1"/>
        <v>0.98228725072868861</v>
      </c>
    </row>
    <row r="22" spans="2:4" x14ac:dyDescent="0.55000000000000004">
      <c r="B22" s="1">
        <v>12</v>
      </c>
      <c r="C22" s="9">
        <f t="shared" si="0"/>
        <v>-0.63742398974868975</v>
      </c>
      <c r="D22" s="2">
        <f t="shared" si="1"/>
        <v>0.99802672842827156</v>
      </c>
    </row>
    <row r="23" spans="2:4" x14ac:dyDescent="0.55000000000000004">
      <c r="B23" s="1">
        <v>13</v>
      </c>
      <c r="C23" s="9">
        <f t="shared" si="0"/>
        <v>-0.77051324277578936</v>
      </c>
      <c r="D23" s="2">
        <f t="shared" si="1"/>
        <v>0.99802672842827156</v>
      </c>
    </row>
    <row r="24" spans="2:4" x14ac:dyDescent="0.55000000000000004">
      <c r="B24" s="1">
        <v>14</v>
      </c>
      <c r="C24" s="9">
        <f t="shared" si="0"/>
        <v>-0.87630668004386358</v>
      </c>
      <c r="D24" s="2">
        <f t="shared" si="1"/>
        <v>0.98228725072868872</v>
      </c>
    </row>
    <row r="25" spans="2:4" x14ac:dyDescent="0.55000000000000004">
      <c r="B25" s="1">
        <v>15</v>
      </c>
      <c r="C25" s="9">
        <f t="shared" si="0"/>
        <v>-0.95105651629515342</v>
      </c>
      <c r="D25" s="2">
        <f t="shared" si="1"/>
        <v>0.95105651629515364</v>
      </c>
    </row>
    <row r="26" spans="2:4" x14ac:dyDescent="0.55000000000000004">
      <c r="B26" s="1">
        <v>16</v>
      </c>
      <c r="C26" s="9">
        <f t="shared" si="0"/>
        <v>-0.99211470131447776</v>
      </c>
      <c r="D26" s="2">
        <f t="shared" si="1"/>
        <v>0.90482705246601947</v>
      </c>
    </row>
    <row r="27" spans="2:4" x14ac:dyDescent="0.55000000000000004">
      <c r="B27" s="1">
        <v>17</v>
      </c>
      <c r="C27" s="9">
        <f t="shared" si="0"/>
        <v>-0.99802672842827156</v>
      </c>
      <c r="D27" s="2">
        <f t="shared" si="1"/>
        <v>0.84432792550201496</v>
      </c>
    </row>
    <row r="28" spans="2:4" x14ac:dyDescent="0.55000000000000004">
      <c r="B28" s="1">
        <v>18</v>
      </c>
      <c r="C28" s="9">
        <f t="shared" si="0"/>
        <v>-0.96858316112863119</v>
      </c>
      <c r="D28" s="2">
        <f t="shared" si="1"/>
        <v>0.77051324277578925</v>
      </c>
    </row>
    <row r="29" spans="2:4" x14ac:dyDescent="0.55000000000000004">
      <c r="B29" s="1">
        <v>19</v>
      </c>
      <c r="C29" s="9">
        <f t="shared" si="0"/>
        <v>-0.90482705246601969</v>
      </c>
      <c r="D29" s="2">
        <f t="shared" si="1"/>
        <v>0.68454710592868884</v>
      </c>
    </row>
    <row r="30" spans="2:4" x14ac:dyDescent="0.55000000000000004">
      <c r="B30" s="1">
        <v>20</v>
      </c>
      <c r="C30" s="9">
        <f t="shared" si="0"/>
        <v>-0.80901699437494778</v>
      </c>
      <c r="D30" s="2">
        <f t="shared" si="1"/>
        <v>0.58778525229247325</v>
      </c>
    </row>
    <row r="31" spans="2:4" x14ac:dyDescent="0.55000000000000004">
      <c r="B31" s="1">
        <v>21</v>
      </c>
      <c r="C31" s="9">
        <f t="shared" si="0"/>
        <v>-0.68454710592868862</v>
      </c>
      <c r="D31" s="2">
        <f t="shared" si="1"/>
        <v>0.48175367410171521</v>
      </c>
    </row>
    <row r="32" spans="2:4" x14ac:dyDescent="0.55000000000000004">
      <c r="B32" s="1">
        <v>22</v>
      </c>
      <c r="C32" s="9">
        <f t="shared" si="0"/>
        <v>-0.5358267949789971</v>
      </c>
      <c r="D32" s="2">
        <f t="shared" si="1"/>
        <v>0.36812455268467814</v>
      </c>
    </row>
    <row r="33" spans="2:4" x14ac:dyDescent="0.55000000000000004">
      <c r="B33" s="1">
        <v>23</v>
      </c>
      <c r="C33" s="9">
        <f t="shared" si="0"/>
        <v>-0.36812455268467781</v>
      </c>
      <c r="D33" s="2">
        <f t="shared" si="1"/>
        <v>0.24868988716485524</v>
      </c>
    </row>
    <row r="34" spans="2:4" x14ac:dyDescent="0.55000000000000004">
      <c r="B34" s="1">
        <v>24</v>
      </c>
      <c r="C34" s="9">
        <f t="shared" si="0"/>
        <v>-0.18738131458572463</v>
      </c>
      <c r="D34" s="2">
        <f t="shared" si="1"/>
        <v>0.12533323356430454</v>
      </c>
    </row>
    <row r="35" spans="2:4" x14ac:dyDescent="0.55000000000000004">
      <c r="B35" s="1">
        <v>25</v>
      </c>
      <c r="C35" s="9">
        <f t="shared" si="0"/>
        <v>-1.83772268236293E-16</v>
      </c>
      <c r="D35" s="2">
        <f t="shared" si="1"/>
        <v>1.22514845490862E-16</v>
      </c>
    </row>
    <row r="36" spans="2:4" x14ac:dyDescent="0.55000000000000004">
      <c r="B36" s="1">
        <v>26</v>
      </c>
      <c r="C36" s="9">
        <f t="shared" si="0"/>
        <v>0.18738131458572513</v>
      </c>
      <c r="D36" s="2">
        <f t="shared" si="1"/>
        <v>-0.12533323356430429</v>
      </c>
    </row>
    <row r="37" spans="2:4" x14ac:dyDescent="0.55000000000000004">
      <c r="B37" s="1">
        <v>27</v>
      </c>
      <c r="C37" s="9">
        <f t="shared" si="0"/>
        <v>0.36812455268467742</v>
      </c>
      <c r="D37" s="2">
        <f t="shared" si="1"/>
        <v>-0.24868988716485457</v>
      </c>
    </row>
    <row r="38" spans="2:4" x14ac:dyDescent="0.55000000000000004">
      <c r="B38" s="1">
        <v>28</v>
      </c>
      <c r="C38" s="9">
        <f t="shared" si="0"/>
        <v>0.53582679497899677</v>
      </c>
      <c r="D38" s="2">
        <f t="shared" si="1"/>
        <v>-0.36812455268467792</v>
      </c>
    </row>
    <row r="39" spans="2:4" x14ac:dyDescent="0.55000000000000004">
      <c r="B39" s="1">
        <v>29</v>
      </c>
      <c r="C39" s="9">
        <f t="shared" si="0"/>
        <v>0.68454710592868795</v>
      </c>
      <c r="D39" s="2">
        <f t="shared" si="1"/>
        <v>-0.48175367410171538</v>
      </c>
    </row>
    <row r="40" spans="2:4" x14ac:dyDescent="0.55000000000000004">
      <c r="B40" s="1">
        <v>30</v>
      </c>
      <c r="C40" s="9">
        <f t="shared" si="0"/>
        <v>0.80901699437494679</v>
      </c>
      <c r="D40" s="2">
        <f t="shared" si="1"/>
        <v>-0.58778525229247269</v>
      </c>
    </row>
    <row r="41" spans="2:4" x14ac:dyDescent="0.55000000000000004">
      <c r="B41" s="1">
        <v>31</v>
      </c>
      <c r="C41" s="9">
        <f t="shared" si="0"/>
        <v>0.90482705246601935</v>
      </c>
      <c r="D41" s="2">
        <f t="shared" si="1"/>
        <v>-0.68454710592868839</v>
      </c>
    </row>
    <row r="42" spans="2:4" x14ac:dyDescent="0.55000000000000004">
      <c r="B42" s="1">
        <v>32</v>
      </c>
      <c r="C42" s="9">
        <f t="shared" si="0"/>
        <v>0.96858316112863097</v>
      </c>
      <c r="D42" s="2">
        <f t="shared" si="1"/>
        <v>-0.77051324277578936</v>
      </c>
    </row>
    <row r="43" spans="2:4" x14ac:dyDescent="0.55000000000000004">
      <c r="B43" s="1">
        <v>33</v>
      </c>
      <c r="C43" s="9">
        <f t="shared" si="0"/>
        <v>0.99802672842827156</v>
      </c>
      <c r="D43" s="2">
        <f t="shared" si="1"/>
        <v>-0.8443279255020153</v>
      </c>
    </row>
    <row r="44" spans="2:4" x14ac:dyDescent="0.55000000000000004">
      <c r="B44" s="1">
        <v>34</v>
      </c>
      <c r="C44" s="9">
        <f t="shared" si="0"/>
        <v>0.99211470131447776</v>
      </c>
      <c r="D44" s="2">
        <f t="shared" si="1"/>
        <v>-0.9048270524660198</v>
      </c>
    </row>
    <row r="45" spans="2:4" x14ac:dyDescent="0.55000000000000004">
      <c r="B45" s="1">
        <v>35</v>
      </c>
      <c r="C45" s="9">
        <f t="shared" si="0"/>
        <v>0.95105651629515364</v>
      </c>
      <c r="D45" s="2">
        <f t="shared" si="1"/>
        <v>-0.95105651629515353</v>
      </c>
    </row>
    <row r="46" spans="2:4" x14ac:dyDescent="0.55000000000000004">
      <c r="B46" s="1">
        <v>36</v>
      </c>
      <c r="C46" s="9">
        <f t="shared" si="0"/>
        <v>0.87630668004386381</v>
      </c>
      <c r="D46" s="2">
        <f t="shared" si="1"/>
        <v>-0.98228725072868872</v>
      </c>
    </row>
    <row r="47" spans="2:4" x14ac:dyDescent="0.55000000000000004">
      <c r="B47" s="1">
        <v>37</v>
      </c>
      <c r="C47" s="9">
        <f t="shared" si="0"/>
        <v>0.77051324277578903</v>
      </c>
      <c r="D47" s="2">
        <f t="shared" si="1"/>
        <v>-0.99802672842827156</v>
      </c>
    </row>
    <row r="48" spans="2:4" x14ac:dyDescent="0.55000000000000004">
      <c r="B48" s="1">
        <v>38</v>
      </c>
      <c r="C48" s="9">
        <f t="shared" si="0"/>
        <v>0.6374239897486903</v>
      </c>
      <c r="D48" s="2">
        <f t="shared" si="1"/>
        <v>-0.99802672842827156</v>
      </c>
    </row>
    <row r="49" spans="2:4" x14ac:dyDescent="0.55000000000000004">
      <c r="B49" s="1">
        <v>39</v>
      </c>
      <c r="C49" s="9">
        <f t="shared" si="0"/>
        <v>0.48175367410171538</v>
      </c>
      <c r="D49" s="2">
        <f t="shared" si="1"/>
        <v>-0.98228725072868872</v>
      </c>
    </row>
    <row r="50" spans="2:4" x14ac:dyDescent="0.55000000000000004">
      <c r="B50" s="1">
        <v>40</v>
      </c>
      <c r="C50" s="9">
        <f t="shared" si="0"/>
        <v>0.30901699437494856</v>
      </c>
      <c r="D50" s="2">
        <f t="shared" si="1"/>
        <v>-0.95105651629515364</v>
      </c>
    </row>
    <row r="51" spans="2:4" x14ac:dyDescent="0.55000000000000004">
      <c r="B51" s="1">
        <v>41</v>
      </c>
      <c r="C51" s="9">
        <f t="shared" si="0"/>
        <v>0.12533323356430559</v>
      </c>
      <c r="D51" s="2">
        <f t="shared" si="1"/>
        <v>-0.90482705246601991</v>
      </c>
    </row>
    <row r="52" spans="2:4" x14ac:dyDescent="0.55000000000000004">
      <c r="B52" s="1">
        <v>42</v>
      </c>
      <c r="C52" s="9">
        <f t="shared" si="0"/>
        <v>-6.2790519529313596E-2</v>
      </c>
      <c r="D52" s="2">
        <f t="shared" si="1"/>
        <v>-0.84432792550201496</v>
      </c>
    </row>
    <row r="53" spans="2:4" x14ac:dyDescent="0.55000000000000004">
      <c r="B53" s="1">
        <v>43</v>
      </c>
      <c r="C53" s="9">
        <f t="shared" si="0"/>
        <v>-0.24868988716485482</v>
      </c>
      <c r="D53" s="2">
        <f t="shared" si="1"/>
        <v>-0.77051324277578959</v>
      </c>
    </row>
    <row r="54" spans="2:4" x14ac:dyDescent="0.55000000000000004">
      <c r="B54" s="1">
        <v>44</v>
      </c>
      <c r="C54" s="9">
        <f t="shared" si="0"/>
        <v>-0.42577929156507172</v>
      </c>
      <c r="D54" s="2">
        <f t="shared" si="1"/>
        <v>-0.68454710592868895</v>
      </c>
    </row>
    <row r="55" spans="2:4" x14ac:dyDescent="0.55000000000000004">
      <c r="B55" s="1">
        <v>45</v>
      </c>
      <c r="C55" s="9">
        <f t="shared" si="0"/>
        <v>-0.58778525229247292</v>
      </c>
      <c r="D55" s="2">
        <f t="shared" si="1"/>
        <v>-0.58778525229247336</v>
      </c>
    </row>
    <row r="56" spans="2:4" x14ac:dyDescent="0.55000000000000004">
      <c r="B56" s="1">
        <v>46</v>
      </c>
      <c r="C56" s="9">
        <f t="shared" si="0"/>
        <v>-0.72896862742141177</v>
      </c>
      <c r="D56" s="2">
        <f t="shared" si="1"/>
        <v>-0.4817536741017161</v>
      </c>
    </row>
    <row r="57" spans="2:4" x14ac:dyDescent="0.55000000000000004">
      <c r="B57" s="1">
        <v>47</v>
      </c>
      <c r="C57" s="9">
        <f t="shared" si="0"/>
        <v>-0.84432792550201563</v>
      </c>
      <c r="D57" s="2">
        <f t="shared" si="1"/>
        <v>-0.36812455268467786</v>
      </c>
    </row>
    <row r="58" spans="2:4" x14ac:dyDescent="0.55000000000000004">
      <c r="B58" s="1">
        <v>48</v>
      </c>
      <c r="C58" s="9">
        <f t="shared" si="0"/>
        <v>-0.92977648588825146</v>
      </c>
      <c r="D58" s="2">
        <f t="shared" si="1"/>
        <v>-0.24868988716485535</v>
      </c>
    </row>
    <row r="59" spans="2:4" x14ac:dyDescent="0.55000000000000004">
      <c r="B59" s="1">
        <v>49</v>
      </c>
      <c r="C59" s="9">
        <f t="shared" si="0"/>
        <v>-0.9822872507286885</v>
      </c>
      <c r="D59" s="2">
        <f t="shared" si="1"/>
        <v>-0.12533323356430465</v>
      </c>
    </row>
    <row r="60" spans="2:4" x14ac:dyDescent="0.55000000000000004">
      <c r="B60" s="1">
        <v>50</v>
      </c>
      <c r="C60" s="9">
        <f t="shared" si="0"/>
        <v>-1</v>
      </c>
      <c r="D60" s="2">
        <f t="shared" si="1"/>
        <v>-2.45029690981724E-16</v>
      </c>
    </row>
    <row r="61" spans="2:4" x14ac:dyDescent="0.55000000000000004">
      <c r="B61" s="1">
        <v>51</v>
      </c>
      <c r="C61" s="9">
        <f t="shared" si="0"/>
        <v>-0.98228725072868894</v>
      </c>
      <c r="D61" s="2">
        <f t="shared" si="1"/>
        <v>0.12533323356430418</v>
      </c>
    </row>
    <row r="62" spans="2:4" x14ac:dyDescent="0.55000000000000004">
      <c r="B62" s="1">
        <v>52</v>
      </c>
      <c r="C62" s="9">
        <f t="shared" si="0"/>
        <v>-0.92977648588825101</v>
      </c>
      <c r="D62" s="2">
        <f t="shared" si="1"/>
        <v>0.24868988716485488</v>
      </c>
    </row>
    <row r="63" spans="2:4" x14ac:dyDescent="0.55000000000000004">
      <c r="B63" s="1">
        <v>53</v>
      </c>
      <c r="C63" s="9">
        <f t="shared" si="0"/>
        <v>-0.84432792550201508</v>
      </c>
      <c r="D63" s="2">
        <f t="shared" si="1"/>
        <v>0.3681245526846782</v>
      </c>
    </row>
    <row r="64" spans="2:4" x14ac:dyDescent="0.55000000000000004">
      <c r="B64" s="1">
        <v>54</v>
      </c>
      <c r="C64" s="9">
        <f t="shared" si="0"/>
        <v>-0.72896862742141233</v>
      </c>
      <c r="D64" s="2">
        <f t="shared" si="1"/>
        <v>0.48175367410171488</v>
      </c>
    </row>
    <row r="65" spans="2:4" x14ac:dyDescent="0.55000000000000004">
      <c r="B65" s="1">
        <v>55</v>
      </c>
      <c r="C65" s="9">
        <f t="shared" si="0"/>
        <v>-0.58778525229247203</v>
      </c>
      <c r="D65" s="2">
        <f t="shared" si="1"/>
        <v>0.58778525229247292</v>
      </c>
    </row>
    <row r="66" spans="2:4" x14ac:dyDescent="0.55000000000000004">
      <c r="B66" s="1">
        <v>56</v>
      </c>
      <c r="C66" s="9">
        <f t="shared" si="0"/>
        <v>-0.42577929156507238</v>
      </c>
      <c r="D66" s="2">
        <f t="shared" si="1"/>
        <v>0.68454710592868862</v>
      </c>
    </row>
    <row r="67" spans="2:4" x14ac:dyDescent="0.55000000000000004">
      <c r="B67" s="1">
        <v>57</v>
      </c>
      <c r="C67" s="9">
        <f t="shared" si="0"/>
        <v>-0.24868988716485554</v>
      </c>
      <c r="D67" s="2">
        <f t="shared" si="1"/>
        <v>0.7705132427757887</v>
      </c>
    </row>
    <row r="68" spans="2:4" x14ac:dyDescent="0.55000000000000004">
      <c r="B68" s="1">
        <v>58</v>
      </c>
      <c r="C68" s="9">
        <f t="shared" si="0"/>
        <v>-6.279051952931522E-2</v>
      </c>
      <c r="D68" s="2">
        <f t="shared" si="1"/>
        <v>0.84432792550201519</v>
      </c>
    </row>
    <row r="69" spans="2:4" x14ac:dyDescent="0.55000000000000004">
      <c r="B69" s="1">
        <v>59</v>
      </c>
      <c r="C69" s="9">
        <f t="shared" si="0"/>
        <v>0.12533323356430487</v>
      </c>
      <c r="D69" s="2">
        <f t="shared" si="1"/>
        <v>0.90482705246601935</v>
      </c>
    </row>
    <row r="70" spans="2:4" x14ac:dyDescent="0.55000000000000004">
      <c r="B70" s="1">
        <v>60</v>
      </c>
      <c r="C70" s="9">
        <f t="shared" si="0"/>
        <v>0.30901699437494534</v>
      </c>
      <c r="D70" s="2">
        <f t="shared" si="1"/>
        <v>0.9510565162951532</v>
      </c>
    </row>
    <row r="71" spans="2:4" x14ac:dyDescent="0.55000000000000004">
      <c r="B71" s="1">
        <v>61</v>
      </c>
      <c r="C71" s="9">
        <f t="shared" si="0"/>
        <v>0.48175367410171394</v>
      </c>
      <c r="D71" s="2">
        <f t="shared" si="1"/>
        <v>0.98228725072868861</v>
      </c>
    </row>
    <row r="72" spans="2:4" x14ac:dyDescent="0.55000000000000004">
      <c r="B72" s="1">
        <v>62</v>
      </c>
      <c r="C72" s="9">
        <f t="shared" si="0"/>
        <v>0.63742398974868908</v>
      </c>
      <c r="D72" s="2">
        <f t="shared" si="1"/>
        <v>0.99802672842827156</v>
      </c>
    </row>
    <row r="73" spans="2:4" x14ac:dyDescent="0.55000000000000004">
      <c r="B73" s="1">
        <v>63</v>
      </c>
      <c r="C73" s="9">
        <f t="shared" si="0"/>
        <v>0.77051324277578914</v>
      </c>
      <c r="D73" s="2">
        <f t="shared" si="1"/>
        <v>0.99802672842827156</v>
      </c>
    </row>
    <row r="74" spans="2:4" x14ac:dyDescent="0.55000000000000004">
      <c r="B74" s="1">
        <v>64</v>
      </c>
      <c r="C74" s="9">
        <f t="shared" si="0"/>
        <v>0.87630668004386303</v>
      </c>
      <c r="D74" s="2">
        <f t="shared" si="1"/>
        <v>0.98228725072868861</v>
      </c>
    </row>
    <row r="75" spans="2:4" x14ac:dyDescent="0.55000000000000004">
      <c r="B75" s="1">
        <v>65</v>
      </c>
      <c r="C75" s="9">
        <f t="shared" ref="C75:C110" si="2">COS(2*PI()*B75*$G$9*$G$11/100)</f>
        <v>0.95105651629515342</v>
      </c>
      <c r="D75" s="2">
        <f t="shared" ref="D75:D110" si="3">SIN(2*PI()*B75*$G$10*$G$11/100)</f>
        <v>0.95105651629515364</v>
      </c>
    </row>
    <row r="76" spans="2:4" x14ac:dyDescent="0.55000000000000004">
      <c r="B76" s="1">
        <v>66</v>
      </c>
      <c r="C76" s="9">
        <f t="shared" si="2"/>
        <v>0.99211470131447788</v>
      </c>
      <c r="D76" s="2">
        <f t="shared" si="3"/>
        <v>0.90482705246601924</v>
      </c>
    </row>
    <row r="77" spans="2:4" x14ac:dyDescent="0.55000000000000004">
      <c r="B77" s="1">
        <v>67</v>
      </c>
      <c r="C77" s="9">
        <f t="shared" si="2"/>
        <v>0.99802672842827167</v>
      </c>
      <c r="D77" s="2">
        <f t="shared" si="3"/>
        <v>0.84432792550201508</v>
      </c>
    </row>
    <row r="78" spans="2:4" x14ac:dyDescent="0.55000000000000004">
      <c r="B78" s="1">
        <v>68</v>
      </c>
      <c r="C78" s="9">
        <f t="shared" si="2"/>
        <v>0.96858316112863074</v>
      </c>
      <c r="D78" s="2">
        <f t="shared" si="3"/>
        <v>0.77051324277578859</v>
      </c>
    </row>
    <row r="79" spans="2:4" x14ac:dyDescent="0.55000000000000004">
      <c r="B79" s="1">
        <v>69</v>
      </c>
      <c r="C79" s="9">
        <f t="shared" si="2"/>
        <v>0.90482705246602002</v>
      </c>
      <c r="D79" s="2">
        <f t="shared" si="3"/>
        <v>0.68454710592868839</v>
      </c>
    </row>
    <row r="80" spans="2:4" x14ac:dyDescent="0.55000000000000004">
      <c r="B80" s="1">
        <v>70</v>
      </c>
      <c r="C80" s="9">
        <f t="shared" si="2"/>
        <v>0.80901699437494767</v>
      </c>
      <c r="D80" s="2">
        <f t="shared" si="3"/>
        <v>0.58778525229247336</v>
      </c>
    </row>
    <row r="81" spans="2:4" x14ac:dyDescent="0.55000000000000004">
      <c r="B81" s="1">
        <v>71</v>
      </c>
      <c r="C81" s="9">
        <f t="shared" si="2"/>
        <v>0.6845471059286885</v>
      </c>
      <c r="D81" s="2">
        <f t="shared" si="3"/>
        <v>0.48175367410171466</v>
      </c>
    </row>
    <row r="82" spans="2:4" x14ac:dyDescent="0.55000000000000004">
      <c r="B82" s="1">
        <v>72</v>
      </c>
      <c r="C82" s="9">
        <f t="shared" si="2"/>
        <v>0.53582679497899732</v>
      </c>
      <c r="D82" s="2">
        <f t="shared" si="3"/>
        <v>0.36812455268467797</v>
      </c>
    </row>
    <row r="83" spans="2:4" x14ac:dyDescent="0.55000000000000004">
      <c r="B83" s="1">
        <v>73</v>
      </c>
      <c r="C83" s="9">
        <f t="shared" si="2"/>
        <v>0.36812455268467981</v>
      </c>
      <c r="D83" s="2">
        <f t="shared" si="3"/>
        <v>0.24868988716485549</v>
      </c>
    </row>
    <row r="84" spans="2:4" x14ac:dyDescent="0.55000000000000004">
      <c r="B84" s="1">
        <v>74</v>
      </c>
      <c r="C84" s="9">
        <f t="shared" si="2"/>
        <v>0.18738131458572413</v>
      </c>
      <c r="D84" s="2">
        <f t="shared" si="3"/>
        <v>0.1253332335643039</v>
      </c>
    </row>
    <row r="85" spans="2:4" x14ac:dyDescent="0.55000000000000004">
      <c r="B85" s="1">
        <v>75</v>
      </c>
      <c r="C85" s="9">
        <f t="shared" si="2"/>
        <v>5.51316804708879E-16</v>
      </c>
      <c r="D85" s="2">
        <f t="shared" si="3"/>
        <v>3.67544536472586E-16</v>
      </c>
    </row>
    <row r="86" spans="2:4" x14ac:dyDescent="0.55000000000000004">
      <c r="B86" s="1">
        <v>76</v>
      </c>
      <c r="C86" s="9">
        <f t="shared" si="2"/>
        <v>-0.18738131458572305</v>
      </c>
      <c r="D86" s="2">
        <f t="shared" si="3"/>
        <v>-0.12533323356430318</v>
      </c>
    </row>
    <row r="87" spans="2:4" x14ac:dyDescent="0.55000000000000004">
      <c r="B87" s="1">
        <v>77</v>
      </c>
      <c r="C87" s="9">
        <f t="shared" si="2"/>
        <v>-0.36812455268467875</v>
      </c>
      <c r="D87" s="2">
        <f t="shared" si="3"/>
        <v>-0.24868988716485477</v>
      </c>
    </row>
    <row r="88" spans="2:4" x14ac:dyDescent="0.55000000000000004">
      <c r="B88" s="1">
        <v>78</v>
      </c>
      <c r="C88" s="9">
        <f t="shared" si="2"/>
        <v>-0.53582679497899643</v>
      </c>
      <c r="D88" s="2">
        <f t="shared" si="3"/>
        <v>-0.36812455268467725</v>
      </c>
    </row>
    <row r="89" spans="2:4" x14ac:dyDescent="0.55000000000000004">
      <c r="B89" s="1">
        <v>79</v>
      </c>
      <c r="C89" s="9">
        <f t="shared" si="2"/>
        <v>-0.68454710592868906</v>
      </c>
      <c r="D89" s="2">
        <f t="shared" si="3"/>
        <v>-0.48175367410171555</v>
      </c>
    </row>
    <row r="90" spans="2:4" x14ac:dyDescent="0.55000000000000004">
      <c r="B90" s="1">
        <v>80</v>
      </c>
      <c r="C90" s="9">
        <f t="shared" si="2"/>
        <v>-0.80901699437494601</v>
      </c>
      <c r="D90" s="2">
        <f t="shared" si="3"/>
        <v>-0.5877852522924728</v>
      </c>
    </row>
    <row r="91" spans="2:4" x14ac:dyDescent="0.55000000000000004">
      <c r="B91" s="1">
        <v>81</v>
      </c>
      <c r="C91" s="9">
        <f t="shared" si="2"/>
        <v>-0.90482705246601958</v>
      </c>
      <c r="D91" s="2">
        <f t="shared" si="3"/>
        <v>-0.68454710592868784</v>
      </c>
    </row>
    <row r="92" spans="2:4" x14ac:dyDescent="0.55000000000000004">
      <c r="B92" s="1">
        <v>82</v>
      </c>
      <c r="C92" s="9">
        <f t="shared" si="2"/>
        <v>-0.96858316112863041</v>
      </c>
      <c r="D92" s="2">
        <f t="shared" si="3"/>
        <v>-0.77051324277578803</v>
      </c>
    </row>
    <row r="93" spans="2:4" x14ac:dyDescent="0.55000000000000004">
      <c r="B93" s="1">
        <v>83</v>
      </c>
      <c r="C93" s="9">
        <f t="shared" si="2"/>
        <v>-0.99802672842827167</v>
      </c>
      <c r="D93" s="2">
        <f t="shared" si="3"/>
        <v>-0.84432792550201563</v>
      </c>
    </row>
    <row r="94" spans="2:4" x14ac:dyDescent="0.55000000000000004">
      <c r="B94" s="1">
        <v>84</v>
      </c>
      <c r="C94" s="9">
        <f t="shared" si="2"/>
        <v>-0.99211470131447776</v>
      </c>
      <c r="D94" s="2">
        <f t="shared" si="3"/>
        <v>-0.90482705246601969</v>
      </c>
    </row>
    <row r="95" spans="2:4" x14ac:dyDescent="0.55000000000000004">
      <c r="B95" s="1">
        <v>85</v>
      </c>
      <c r="C95" s="9">
        <f t="shared" si="2"/>
        <v>-0.9510565162951532</v>
      </c>
      <c r="D95" s="2">
        <f t="shared" si="3"/>
        <v>-0.95105651629515342</v>
      </c>
    </row>
    <row r="96" spans="2:4" x14ac:dyDescent="0.55000000000000004">
      <c r="B96" s="1">
        <v>86</v>
      </c>
      <c r="C96" s="9">
        <f t="shared" si="2"/>
        <v>-0.87630668004386358</v>
      </c>
      <c r="D96" s="2">
        <f t="shared" si="3"/>
        <v>-0.9822872507286885</v>
      </c>
    </row>
    <row r="97" spans="2:4" x14ac:dyDescent="0.55000000000000004">
      <c r="B97" s="1">
        <v>87</v>
      </c>
      <c r="C97" s="9">
        <f t="shared" si="2"/>
        <v>-0.77051324277578992</v>
      </c>
      <c r="D97" s="2">
        <f t="shared" si="3"/>
        <v>-0.99802672842827145</v>
      </c>
    </row>
    <row r="98" spans="2:4" x14ac:dyDescent="0.55000000000000004">
      <c r="B98" s="1">
        <v>88</v>
      </c>
      <c r="C98" s="9">
        <f t="shared" si="2"/>
        <v>-0.6374239897486913</v>
      </c>
      <c r="D98" s="2">
        <f t="shared" si="3"/>
        <v>-0.99802672842827156</v>
      </c>
    </row>
    <row r="99" spans="2:4" x14ac:dyDescent="0.55000000000000004">
      <c r="B99" s="1">
        <v>89</v>
      </c>
      <c r="C99" s="9">
        <f t="shared" si="2"/>
        <v>-0.48175367410171493</v>
      </c>
      <c r="D99" s="2">
        <f t="shared" si="3"/>
        <v>-0.98228725072868861</v>
      </c>
    </row>
    <row r="100" spans="2:4" x14ac:dyDescent="0.55000000000000004">
      <c r="B100" s="1">
        <v>90</v>
      </c>
      <c r="C100" s="9">
        <f t="shared" si="2"/>
        <v>-0.30901699437494806</v>
      </c>
      <c r="D100" s="2">
        <f t="shared" si="3"/>
        <v>-0.95105651629515375</v>
      </c>
    </row>
    <row r="101" spans="2:4" x14ac:dyDescent="0.55000000000000004">
      <c r="B101" s="1">
        <v>91</v>
      </c>
      <c r="C101" s="9">
        <f t="shared" si="2"/>
        <v>-0.12533323356430598</v>
      </c>
      <c r="D101" s="2">
        <f t="shared" si="3"/>
        <v>-0.90482705246602002</v>
      </c>
    </row>
    <row r="102" spans="2:4" x14ac:dyDescent="0.55000000000000004">
      <c r="B102" s="1">
        <v>92</v>
      </c>
      <c r="C102" s="9">
        <f t="shared" si="2"/>
        <v>6.2790519529314123E-2</v>
      </c>
      <c r="D102" s="2">
        <f t="shared" si="3"/>
        <v>-0.84432792550201607</v>
      </c>
    </row>
    <row r="103" spans="2:4" x14ac:dyDescent="0.55000000000000004">
      <c r="B103" s="1">
        <v>93</v>
      </c>
      <c r="C103" s="9">
        <f t="shared" si="2"/>
        <v>0.24868988716485102</v>
      </c>
      <c r="D103" s="2">
        <f t="shared" si="3"/>
        <v>-0.7705132427757897</v>
      </c>
    </row>
    <row r="104" spans="2:4" x14ac:dyDescent="0.55000000000000004">
      <c r="B104" s="1">
        <v>94</v>
      </c>
      <c r="C104" s="9">
        <f t="shared" si="2"/>
        <v>0.4257792915650746</v>
      </c>
      <c r="D104" s="2">
        <f t="shared" si="3"/>
        <v>-0.6845471059286885</v>
      </c>
    </row>
    <row r="105" spans="2:4" x14ac:dyDescent="0.55000000000000004">
      <c r="B105" s="1">
        <v>95</v>
      </c>
      <c r="C105" s="9">
        <f t="shared" si="2"/>
        <v>0.58778525229247403</v>
      </c>
      <c r="D105" s="2">
        <f t="shared" si="3"/>
        <v>-0.58778525229247347</v>
      </c>
    </row>
    <row r="106" spans="2:4" x14ac:dyDescent="0.55000000000000004">
      <c r="B106" s="1">
        <v>96</v>
      </c>
      <c r="C106" s="9">
        <f t="shared" si="2"/>
        <v>0.72896862742141155</v>
      </c>
      <c r="D106" s="2">
        <f t="shared" si="3"/>
        <v>-0.48175367410171632</v>
      </c>
    </row>
    <row r="107" spans="2:4" x14ac:dyDescent="0.55000000000000004">
      <c r="B107" s="1">
        <v>97</v>
      </c>
      <c r="C107" s="9">
        <f t="shared" si="2"/>
        <v>0.84432792550201452</v>
      </c>
      <c r="D107" s="2">
        <f t="shared" si="3"/>
        <v>-0.36812455268467809</v>
      </c>
    </row>
    <row r="108" spans="2:4" x14ac:dyDescent="0.55000000000000004">
      <c r="B108" s="1">
        <v>98</v>
      </c>
      <c r="C108" s="9">
        <f t="shared" si="2"/>
        <v>0.92977648588825057</v>
      </c>
      <c r="D108" s="2">
        <f t="shared" si="3"/>
        <v>-0.2486898871648556</v>
      </c>
    </row>
    <row r="109" spans="2:4" x14ac:dyDescent="0.55000000000000004">
      <c r="B109" s="1">
        <v>99</v>
      </c>
      <c r="C109" s="9">
        <f t="shared" si="2"/>
        <v>0.98228725072868872</v>
      </c>
      <c r="D109" s="2">
        <f t="shared" si="3"/>
        <v>-0.12533323356430401</v>
      </c>
    </row>
    <row r="110" spans="2:4" ht="18.5" thickBot="1" x14ac:dyDescent="0.6">
      <c r="B110" s="3">
        <v>100</v>
      </c>
      <c r="C110" s="9">
        <f t="shared" si="2"/>
        <v>1</v>
      </c>
      <c r="D110" s="2">
        <f t="shared" si="3"/>
        <v>-4.90059381963448E-16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38E9-DC4E-40F0-A2FD-7C2558E69198}">
  <dimension ref="B8:K114"/>
  <sheetViews>
    <sheetView workbookViewId="0">
      <selection activeCell="B9" sqref="B9"/>
    </sheetView>
  </sheetViews>
  <sheetFormatPr defaultRowHeight="18" x14ac:dyDescent="0.55000000000000004"/>
  <sheetData>
    <row r="8" spans="2:11" ht="18.5" thickBot="1" x14ac:dyDescent="0.6"/>
    <row r="9" spans="2:11" ht="18.5" thickBot="1" x14ac:dyDescent="0.6">
      <c r="B9" s="6" t="s">
        <v>0</v>
      </c>
      <c r="C9" s="8" t="s">
        <v>10</v>
      </c>
      <c r="D9" s="8" t="s">
        <v>11</v>
      </c>
      <c r="F9" s="16" t="s">
        <v>18</v>
      </c>
      <c r="G9" s="11" t="s">
        <v>19</v>
      </c>
      <c r="H9" s="20" t="s">
        <v>20</v>
      </c>
      <c r="I9" s="11" t="s">
        <v>21</v>
      </c>
      <c r="J9" s="20" t="s">
        <v>22</v>
      </c>
      <c r="K9" s="11" t="s">
        <v>23</v>
      </c>
    </row>
    <row r="10" spans="2:11" ht="18.5" thickBot="1" x14ac:dyDescent="0.6">
      <c r="B10" s="1">
        <v>0</v>
      </c>
      <c r="C10" s="9">
        <f t="shared" ref="C10:C41" si="0">($F$10-$G$10)*COS(2*PI()*$J$10*$I$10*B10/100)+($G$10/$H$10)*COS((($F$10-$G$10)/$G$10)*2*PI()*$I$10*B10/100)</f>
        <v>1</v>
      </c>
      <c r="D10" s="9">
        <f t="shared" ref="D10:D41" si="1">($F$10-$G$10)*SIN(2*PI()*$K$10*$I$10*B10/100)-($G$10/$H$10)*SIN((($F$10-$G$10)/$G$10)*2*PI()*$I$10*B10/100)</f>
        <v>0</v>
      </c>
      <c r="F10" s="3">
        <v>1</v>
      </c>
      <c r="G10" s="10">
        <v>1</v>
      </c>
      <c r="H10" s="14">
        <v>1</v>
      </c>
      <c r="I10" s="10">
        <v>1</v>
      </c>
      <c r="J10" s="14">
        <v>1</v>
      </c>
      <c r="K10" s="10">
        <v>1</v>
      </c>
    </row>
    <row r="11" spans="2:11" x14ac:dyDescent="0.55000000000000004">
      <c r="B11" s="1">
        <v>1</v>
      </c>
      <c r="C11" s="9">
        <f t="shared" si="0"/>
        <v>1</v>
      </c>
      <c r="D11" s="9">
        <f t="shared" si="1"/>
        <v>0</v>
      </c>
    </row>
    <row r="12" spans="2:11" x14ac:dyDescent="0.55000000000000004">
      <c r="B12" s="1">
        <v>2</v>
      </c>
      <c r="C12" s="9">
        <f t="shared" si="0"/>
        <v>1</v>
      </c>
      <c r="D12" s="9">
        <f t="shared" si="1"/>
        <v>0</v>
      </c>
    </row>
    <row r="13" spans="2:11" x14ac:dyDescent="0.55000000000000004">
      <c r="B13" s="1">
        <v>3</v>
      </c>
      <c r="C13" s="9">
        <f t="shared" si="0"/>
        <v>1</v>
      </c>
      <c r="D13" s="9">
        <f t="shared" si="1"/>
        <v>0</v>
      </c>
    </row>
    <row r="14" spans="2:11" x14ac:dyDescent="0.55000000000000004">
      <c r="B14" s="1">
        <v>4</v>
      </c>
      <c r="C14" s="9">
        <f t="shared" si="0"/>
        <v>1</v>
      </c>
      <c r="D14" s="9">
        <f t="shared" si="1"/>
        <v>0</v>
      </c>
    </row>
    <row r="15" spans="2:11" x14ac:dyDescent="0.55000000000000004">
      <c r="B15" s="1">
        <v>5</v>
      </c>
      <c r="C15" s="9">
        <f t="shared" si="0"/>
        <v>1</v>
      </c>
      <c r="D15" s="9">
        <f t="shared" si="1"/>
        <v>0</v>
      </c>
    </row>
    <row r="16" spans="2:11" x14ac:dyDescent="0.55000000000000004">
      <c r="B16" s="1">
        <v>6</v>
      </c>
      <c r="C16" s="9">
        <f t="shared" si="0"/>
        <v>1</v>
      </c>
      <c r="D16" s="9">
        <f t="shared" si="1"/>
        <v>0</v>
      </c>
    </row>
    <row r="17" spans="2:4" x14ac:dyDescent="0.55000000000000004">
      <c r="B17" s="1">
        <v>7</v>
      </c>
      <c r="C17" s="9">
        <f t="shared" si="0"/>
        <v>1</v>
      </c>
      <c r="D17" s="9">
        <f t="shared" si="1"/>
        <v>0</v>
      </c>
    </row>
    <row r="18" spans="2:4" x14ac:dyDescent="0.55000000000000004">
      <c r="B18" s="1">
        <v>8</v>
      </c>
      <c r="C18" s="9">
        <f t="shared" si="0"/>
        <v>1</v>
      </c>
      <c r="D18" s="9">
        <f t="shared" si="1"/>
        <v>0</v>
      </c>
    </row>
    <row r="19" spans="2:4" x14ac:dyDescent="0.55000000000000004">
      <c r="B19" s="1">
        <v>9</v>
      </c>
      <c r="C19" s="9">
        <f t="shared" si="0"/>
        <v>1</v>
      </c>
      <c r="D19" s="9">
        <f t="shared" si="1"/>
        <v>0</v>
      </c>
    </row>
    <row r="20" spans="2:4" x14ac:dyDescent="0.55000000000000004">
      <c r="B20" s="1">
        <v>10</v>
      </c>
      <c r="C20" s="9">
        <f t="shared" si="0"/>
        <v>1</v>
      </c>
      <c r="D20" s="9">
        <f t="shared" si="1"/>
        <v>0</v>
      </c>
    </row>
    <row r="21" spans="2:4" x14ac:dyDescent="0.55000000000000004">
      <c r="B21" s="1">
        <v>11</v>
      </c>
      <c r="C21" s="9">
        <f t="shared" si="0"/>
        <v>1</v>
      </c>
      <c r="D21" s="9">
        <f t="shared" si="1"/>
        <v>0</v>
      </c>
    </row>
    <row r="22" spans="2:4" x14ac:dyDescent="0.55000000000000004">
      <c r="B22" s="1">
        <v>12</v>
      </c>
      <c r="C22" s="9">
        <f t="shared" si="0"/>
        <v>1</v>
      </c>
      <c r="D22" s="9">
        <f t="shared" si="1"/>
        <v>0</v>
      </c>
    </row>
    <row r="23" spans="2:4" x14ac:dyDescent="0.55000000000000004">
      <c r="B23" s="1">
        <v>13</v>
      </c>
      <c r="C23" s="9">
        <f t="shared" si="0"/>
        <v>1</v>
      </c>
      <c r="D23" s="9">
        <f t="shared" si="1"/>
        <v>0</v>
      </c>
    </row>
    <row r="24" spans="2:4" x14ac:dyDescent="0.55000000000000004">
      <c r="B24" s="1">
        <v>14</v>
      </c>
      <c r="C24" s="9">
        <f t="shared" si="0"/>
        <v>1</v>
      </c>
      <c r="D24" s="9">
        <f t="shared" si="1"/>
        <v>0</v>
      </c>
    </row>
    <row r="25" spans="2:4" x14ac:dyDescent="0.55000000000000004">
      <c r="B25" s="1">
        <v>15</v>
      </c>
      <c r="C25" s="9">
        <f t="shared" si="0"/>
        <v>1</v>
      </c>
      <c r="D25" s="9">
        <f t="shared" si="1"/>
        <v>0</v>
      </c>
    </row>
    <row r="26" spans="2:4" x14ac:dyDescent="0.55000000000000004">
      <c r="B26" s="1">
        <v>16</v>
      </c>
      <c r="C26" s="9">
        <f t="shared" si="0"/>
        <v>1</v>
      </c>
      <c r="D26" s="9">
        <f t="shared" si="1"/>
        <v>0</v>
      </c>
    </row>
    <row r="27" spans="2:4" x14ac:dyDescent="0.55000000000000004">
      <c r="B27" s="1">
        <v>17</v>
      </c>
      <c r="C27" s="9">
        <f t="shared" si="0"/>
        <v>1</v>
      </c>
      <c r="D27" s="9">
        <f t="shared" si="1"/>
        <v>0</v>
      </c>
    </row>
    <row r="28" spans="2:4" x14ac:dyDescent="0.55000000000000004">
      <c r="B28" s="1">
        <v>18</v>
      </c>
      <c r="C28" s="9">
        <f t="shared" si="0"/>
        <v>1</v>
      </c>
      <c r="D28" s="9">
        <f t="shared" si="1"/>
        <v>0</v>
      </c>
    </row>
    <row r="29" spans="2:4" x14ac:dyDescent="0.55000000000000004">
      <c r="B29" s="1">
        <v>19</v>
      </c>
      <c r="C29" s="9">
        <f t="shared" si="0"/>
        <v>1</v>
      </c>
      <c r="D29" s="9">
        <f t="shared" si="1"/>
        <v>0</v>
      </c>
    </row>
    <row r="30" spans="2:4" x14ac:dyDescent="0.55000000000000004">
      <c r="B30" s="1">
        <v>20</v>
      </c>
      <c r="C30" s="9">
        <f t="shared" si="0"/>
        <v>1</v>
      </c>
      <c r="D30" s="9">
        <f t="shared" si="1"/>
        <v>0</v>
      </c>
    </row>
    <row r="31" spans="2:4" x14ac:dyDescent="0.55000000000000004">
      <c r="B31" s="1">
        <v>21</v>
      </c>
      <c r="C31" s="9">
        <f t="shared" si="0"/>
        <v>1</v>
      </c>
      <c r="D31" s="9">
        <f t="shared" si="1"/>
        <v>0</v>
      </c>
    </row>
    <row r="32" spans="2:4" x14ac:dyDescent="0.55000000000000004">
      <c r="B32" s="1">
        <v>22</v>
      </c>
      <c r="C32" s="9">
        <f t="shared" si="0"/>
        <v>1</v>
      </c>
      <c r="D32" s="9">
        <f t="shared" si="1"/>
        <v>0</v>
      </c>
    </row>
    <row r="33" spans="2:4" x14ac:dyDescent="0.55000000000000004">
      <c r="B33" s="1">
        <v>23</v>
      </c>
      <c r="C33" s="9">
        <f t="shared" si="0"/>
        <v>1</v>
      </c>
      <c r="D33" s="9">
        <f t="shared" si="1"/>
        <v>0</v>
      </c>
    </row>
    <row r="34" spans="2:4" x14ac:dyDescent="0.55000000000000004">
      <c r="B34" s="1">
        <v>24</v>
      </c>
      <c r="C34" s="9">
        <f t="shared" si="0"/>
        <v>1</v>
      </c>
      <c r="D34" s="9">
        <f t="shared" si="1"/>
        <v>0</v>
      </c>
    </row>
    <row r="35" spans="2:4" x14ac:dyDescent="0.55000000000000004">
      <c r="B35" s="1">
        <v>25</v>
      </c>
      <c r="C35" s="9">
        <f t="shared" si="0"/>
        <v>1</v>
      </c>
      <c r="D35" s="9">
        <f t="shared" si="1"/>
        <v>0</v>
      </c>
    </row>
    <row r="36" spans="2:4" x14ac:dyDescent="0.55000000000000004">
      <c r="B36" s="1">
        <v>26</v>
      </c>
      <c r="C36" s="9">
        <f t="shared" si="0"/>
        <v>1</v>
      </c>
      <c r="D36" s="9">
        <f t="shared" si="1"/>
        <v>0</v>
      </c>
    </row>
    <row r="37" spans="2:4" x14ac:dyDescent="0.55000000000000004">
      <c r="B37" s="1">
        <v>27</v>
      </c>
      <c r="C37" s="9">
        <f t="shared" si="0"/>
        <v>1</v>
      </c>
      <c r="D37" s="9">
        <f t="shared" si="1"/>
        <v>0</v>
      </c>
    </row>
    <row r="38" spans="2:4" x14ac:dyDescent="0.55000000000000004">
      <c r="B38" s="1">
        <v>28</v>
      </c>
      <c r="C38" s="9">
        <f t="shared" si="0"/>
        <v>1</v>
      </c>
      <c r="D38" s="9">
        <f t="shared" si="1"/>
        <v>0</v>
      </c>
    </row>
    <row r="39" spans="2:4" x14ac:dyDescent="0.55000000000000004">
      <c r="B39" s="1">
        <v>29</v>
      </c>
      <c r="C39" s="9">
        <f t="shared" si="0"/>
        <v>1</v>
      </c>
      <c r="D39" s="9">
        <f t="shared" si="1"/>
        <v>0</v>
      </c>
    </row>
    <row r="40" spans="2:4" x14ac:dyDescent="0.55000000000000004">
      <c r="B40" s="1">
        <v>30</v>
      </c>
      <c r="C40" s="9">
        <f t="shared" si="0"/>
        <v>1</v>
      </c>
      <c r="D40" s="9">
        <f t="shared" si="1"/>
        <v>0</v>
      </c>
    </row>
    <row r="41" spans="2:4" x14ac:dyDescent="0.55000000000000004">
      <c r="B41" s="1">
        <v>31</v>
      </c>
      <c r="C41" s="9">
        <f t="shared" si="0"/>
        <v>1</v>
      </c>
      <c r="D41" s="9">
        <f t="shared" si="1"/>
        <v>0</v>
      </c>
    </row>
    <row r="42" spans="2:4" x14ac:dyDescent="0.55000000000000004">
      <c r="B42" s="1">
        <v>32</v>
      </c>
      <c r="C42" s="9">
        <f t="shared" ref="C42:C73" si="2">($F$10-$G$10)*COS(2*PI()*$J$10*$I$10*B42/100)+($G$10/$H$10)*COS((($F$10-$G$10)/$G$10)*2*PI()*$I$10*B42/100)</f>
        <v>1</v>
      </c>
      <c r="D42" s="9">
        <f t="shared" ref="D42:D73" si="3">($F$10-$G$10)*SIN(2*PI()*$K$10*$I$10*B42/100)-($G$10/$H$10)*SIN((($F$10-$G$10)/$G$10)*2*PI()*$I$10*B42/100)</f>
        <v>0</v>
      </c>
    </row>
    <row r="43" spans="2:4" x14ac:dyDescent="0.55000000000000004">
      <c r="B43" s="1">
        <v>33</v>
      </c>
      <c r="C43" s="9">
        <f t="shared" si="2"/>
        <v>1</v>
      </c>
      <c r="D43" s="9">
        <f t="shared" si="3"/>
        <v>0</v>
      </c>
    </row>
    <row r="44" spans="2:4" x14ac:dyDescent="0.55000000000000004">
      <c r="B44" s="1">
        <v>34</v>
      </c>
      <c r="C44" s="9">
        <f t="shared" si="2"/>
        <v>1</v>
      </c>
      <c r="D44" s="9">
        <f t="shared" si="3"/>
        <v>0</v>
      </c>
    </row>
    <row r="45" spans="2:4" x14ac:dyDescent="0.55000000000000004">
      <c r="B45" s="1">
        <v>35</v>
      </c>
      <c r="C45" s="9">
        <f t="shared" si="2"/>
        <v>1</v>
      </c>
      <c r="D45" s="9">
        <f t="shared" si="3"/>
        <v>0</v>
      </c>
    </row>
    <row r="46" spans="2:4" x14ac:dyDescent="0.55000000000000004">
      <c r="B46" s="1">
        <v>36</v>
      </c>
      <c r="C46" s="9">
        <f t="shared" si="2"/>
        <v>1</v>
      </c>
      <c r="D46" s="9">
        <f t="shared" si="3"/>
        <v>0</v>
      </c>
    </row>
    <row r="47" spans="2:4" x14ac:dyDescent="0.55000000000000004">
      <c r="B47" s="1">
        <v>37</v>
      </c>
      <c r="C47" s="9">
        <f t="shared" si="2"/>
        <v>1</v>
      </c>
      <c r="D47" s="9">
        <f t="shared" si="3"/>
        <v>0</v>
      </c>
    </row>
    <row r="48" spans="2:4" x14ac:dyDescent="0.55000000000000004">
      <c r="B48" s="1">
        <v>38</v>
      </c>
      <c r="C48" s="9">
        <f t="shared" si="2"/>
        <v>1</v>
      </c>
      <c r="D48" s="9">
        <f t="shared" si="3"/>
        <v>0</v>
      </c>
    </row>
    <row r="49" spans="2:4" x14ac:dyDescent="0.55000000000000004">
      <c r="B49" s="1">
        <v>39</v>
      </c>
      <c r="C49" s="9">
        <f t="shared" si="2"/>
        <v>1</v>
      </c>
      <c r="D49" s="9">
        <f t="shared" si="3"/>
        <v>0</v>
      </c>
    </row>
    <row r="50" spans="2:4" x14ac:dyDescent="0.55000000000000004">
      <c r="B50" s="1">
        <v>40</v>
      </c>
      <c r="C50" s="9">
        <f t="shared" si="2"/>
        <v>1</v>
      </c>
      <c r="D50" s="9">
        <f t="shared" si="3"/>
        <v>0</v>
      </c>
    </row>
    <row r="51" spans="2:4" x14ac:dyDescent="0.55000000000000004">
      <c r="B51" s="1">
        <v>41</v>
      </c>
      <c r="C51" s="9">
        <f t="shared" si="2"/>
        <v>1</v>
      </c>
      <c r="D51" s="9">
        <f t="shared" si="3"/>
        <v>0</v>
      </c>
    </row>
    <row r="52" spans="2:4" x14ac:dyDescent="0.55000000000000004">
      <c r="B52" s="1">
        <v>42</v>
      </c>
      <c r="C52" s="9">
        <f t="shared" si="2"/>
        <v>1</v>
      </c>
      <c r="D52" s="9">
        <f t="shared" si="3"/>
        <v>0</v>
      </c>
    </row>
    <row r="53" spans="2:4" x14ac:dyDescent="0.55000000000000004">
      <c r="B53" s="1">
        <v>43</v>
      </c>
      <c r="C53" s="9">
        <f t="shared" si="2"/>
        <v>1</v>
      </c>
      <c r="D53" s="9">
        <f t="shared" si="3"/>
        <v>0</v>
      </c>
    </row>
    <row r="54" spans="2:4" x14ac:dyDescent="0.55000000000000004">
      <c r="B54" s="1">
        <v>44</v>
      </c>
      <c r="C54" s="9">
        <f t="shared" si="2"/>
        <v>1</v>
      </c>
      <c r="D54" s="9">
        <f t="shared" si="3"/>
        <v>0</v>
      </c>
    </row>
    <row r="55" spans="2:4" x14ac:dyDescent="0.55000000000000004">
      <c r="B55" s="1">
        <v>45</v>
      </c>
      <c r="C55" s="9">
        <f t="shared" si="2"/>
        <v>1</v>
      </c>
      <c r="D55" s="9">
        <f t="shared" si="3"/>
        <v>0</v>
      </c>
    </row>
    <row r="56" spans="2:4" x14ac:dyDescent="0.55000000000000004">
      <c r="B56" s="1">
        <v>46</v>
      </c>
      <c r="C56" s="9">
        <f t="shared" si="2"/>
        <v>1</v>
      </c>
      <c r="D56" s="9">
        <f t="shared" si="3"/>
        <v>0</v>
      </c>
    </row>
    <row r="57" spans="2:4" x14ac:dyDescent="0.55000000000000004">
      <c r="B57" s="1">
        <v>47</v>
      </c>
      <c r="C57" s="9">
        <f t="shared" si="2"/>
        <v>1</v>
      </c>
      <c r="D57" s="9">
        <f t="shared" si="3"/>
        <v>0</v>
      </c>
    </row>
    <row r="58" spans="2:4" x14ac:dyDescent="0.55000000000000004">
      <c r="B58" s="1">
        <v>48</v>
      </c>
      <c r="C58" s="9">
        <f t="shared" si="2"/>
        <v>1</v>
      </c>
      <c r="D58" s="9">
        <f t="shared" si="3"/>
        <v>0</v>
      </c>
    </row>
    <row r="59" spans="2:4" x14ac:dyDescent="0.55000000000000004">
      <c r="B59" s="1">
        <v>49</v>
      </c>
      <c r="C59" s="9">
        <f t="shared" si="2"/>
        <v>1</v>
      </c>
      <c r="D59" s="9">
        <f t="shared" si="3"/>
        <v>0</v>
      </c>
    </row>
    <row r="60" spans="2:4" x14ac:dyDescent="0.55000000000000004">
      <c r="B60" s="1">
        <v>50</v>
      </c>
      <c r="C60" s="9">
        <f t="shared" si="2"/>
        <v>1</v>
      </c>
      <c r="D60" s="9">
        <f t="shared" si="3"/>
        <v>0</v>
      </c>
    </row>
    <row r="61" spans="2:4" x14ac:dyDescent="0.55000000000000004">
      <c r="B61" s="1">
        <v>51</v>
      </c>
      <c r="C61" s="9">
        <f t="shared" si="2"/>
        <v>1</v>
      </c>
      <c r="D61" s="9">
        <f t="shared" si="3"/>
        <v>0</v>
      </c>
    </row>
    <row r="62" spans="2:4" x14ac:dyDescent="0.55000000000000004">
      <c r="B62" s="1">
        <v>52</v>
      </c>
      <c r="C62" s="9">
        <f t="shared" si="2"/>
        <v>1</v>
      </c>
      <c r="D62" s="9">
        <f t="shared" si="3"/>
        <v>0</v>
      </c>
    </row>
    <row r="63" spans="2:4" x14ac:dyDescent="0.55000000000000004">
      <c r="B63" s="1">
        <v>53</v>
      </c>
      <c r="C63" s="9">
        <f t="shared" si="2"/>
        <v>1</v>
      </c>
      <c r="D63" s="9">
        <f t="shared" si="3"/>
        <v>0</v>
      </c>
    </row>
    <row r="64" spans="2:4" x14ac:dyDescent="0.55000000000000004">
      <c r="B64" s="1">
        <v>54</v>
      </c>
      <c r="C64" s="9">
        <f t="shared" si="2"/>
        <v>1</v>
      </c>
      <c r="D64" s="9">
        <f t="shared" si="3"/>
        <v>0</v>
      </c>
    </row>
    <row r="65" spans="2:4" x14ac:dyDescent="0.55000000000000004">
      <c r="B65" s="1">
        <v>55</v>
      </c>
      <c r="C65" s="9">
        <f t="shared" si="2"/>
        <v>1</v>
      </c>
      <c r="D65" s="9">
        <f t="shared" si="3"/>
        <v>0</v>
      </c>
    </row>
    <row r="66" spans="2:4" x14ac:dyDescent="0.55000000000000004">
      <c r="B66" s="1">
        <v>56</v>
      </c>
      <c r="C66" s="9">
        <f t="shared" si="2"/>
        <v>1</v>
      </c>
      <c r="D66" s="9">
        <f t="shared" si="3"/>
        <v>0</v>
      </c>
    </row>
    <row r="67" spans="2:4" x14ac:dyDescent="0.55000000000000004">
      <c r="B67" s="1">
        <v>57</v>
      </c>
      <c r="C67" s="9">
        <f t="shared" si="2"/>
        <v>1</v>
      </c>
      <c r="D67" s="9">
        <f t="shared" si="3"/>
        <v>0</v>
      </c>
    </row>
    <row r="68" spans="2:4" x14ac:dyDescent="0.55000000000000004">
      <c r="B68" s="1">
        <v>58</v>
      </c>
      <c r="C68" s="9">
        <f t="shared" si="2"/>
        <v>1</v>
      </c>
      <c r="D68" s="9">
        <f t="shared" si="3"/>
        <v>0</v>
      </c>
    </row>
    <row r="69" spans="2:4" x14ac:dyDescent="0.55000000000000004">
      <c r="B69" s="1">
        <v>59</v>
      </c>
      <c r="C69" s="9">
        <f t="shared" si="2"/>
        <v>1</v>
      </c>
      <c r="D69" s="9">
        <f t="shared" si="3"/>
        <v>0</v>
      </c>
    </row>
    <row r="70" spans="2:4" x14ac:dyDescent="0.55000000000000004">
      <c r="B70" s="1">
        <v>60</v>
      </c>
      <c r="C70" s="9">
        <f t="shared" si="2"/>
        <v>1</v>
      </c>
      <c r="D70" s="9">
        <f t="shared" si="3"/>
        <v>0</v>
      </c>
    </row>
    <row r="71" spans="2:4" x14ac:dyDescent="0.55000000000000004">
      <c r="B71" s="1">
        <v>61</v>
      </c>
      <c r="C71" s="9">
        <f t="shared" si="2"/>
        <v>1</v>
      </c>
      <c r="D71" s="9">
        <f t="shared" si="3"/>
        <v>0</v>
      </c>
    </row>
    <row r="72" spans="2:4" x14ac:dyDescent="0.55000000000000004">
      <c r="B72" s="1">
        <v>62</v>
      </c>
      <c r="C72" s="9">
        <f t="shared" si="2"/>
        <v>1</v>
      </c>
      <c r="D72" s="9">
        <f t="shared" si="3"/>
        <v>0</v>
      </c>
    </row>
    <row r="73" spans="2:4" x14ac:dyDescent="0.55000000000000004">
      <c r="B73" s="1">
        <v>63</v>
      </c>
      <c r="C73" s="9">
        <f t="shared" si="2"/>
        <v>1</v>
      </c>
      <c r="D73" s="9">
        <f t="shared" si="3"/>
        <v>0</v>
      </c>
    </row>
    <row r="74" spans="2:4" x14ac:dyDescent="0.55000000000000004">
      <c r="B74" s="1">
        <v>64</v>
      </c>
      <c r="C74" s="9">
        <f t="shared" ref="C74:C105" si="4">($F$10-$G$10)*COS(2*PI()*$J$10*$I$10*B74/100)+($G$10/$H$10)*COS((($F$10-$G$10)/$G$10)*2*PI()*$I$10*B74/100)</f>
        <v>1</v>
      </c>
      <c r="D74" s="9">
        <f t="shared" ref="D74:D110" si="5">($F$10-$G$10)*SIN(2*PI()*$K$10*$I$10*B74/100)-($G$10/$H$10)*SIN((($F$10-$G$10)/$G$10)*2*PI()*$I$10*B74/100)</f>
        <v>0</v>
      </c>
    </row>
    <row r="75" spans="2:4" x14ac:dyDescent="0.55000000000000004">
      <c r="B75" s="1">
        <v>65</v>
      </c>
      <c r="C75" s="9">
        <f t="shared" si="4"/>
        <v>1</v>
      </c>
      <c r="D75" s="9">
        <f t="shared" si="5"/>
        <v>0</v>
      </c>
    </row>
    <row r="76" spans="2:4" x14ac:dyDescent="0.55000000000000004">
      <c r="B76" s="1">
        <v>66</v>
      </c>
      <c r="C76" s="9">
        <f t="shared" si="4"/>
        <v>1</v>
      </c>
      <c r="D76" s="9">
        <f t="shared" si="5"/>
        <v>0</v>
      </c>
    </row>
    <row r="77" spans="2:4" x14ac:dyDescent="0.55000000000000004">
      <c r="B77" s="1">
        <v>67</v>
      </c>
      <c r="C77" s="9">
        <f t="shared" si="4"/>
        <v>1</v>
      </c>
      <c r="D77" s="9">
        <f t="shared" si="5"/>
        <v>0</v>
      </c>
    </row>
    <row r="78" spans="2:4" x14ac:dyDescent="0.55000000000000004">
      <c r="B78" s="1">
        <v>68</v>
      </c>
      <c r="C78" s="9">
        <f t="shared" si="4"/>
        <v>1</v>
      </c>
      <c r="D78" s="9">
        <f t="shared" si="5"/>
        <v>0</v>
      </c>
    </row>
    <row r="79" spans="2:4" x14ac:dyDescent="0.55000000000000004">
      <c r="B79" s="1">
        <v>69</v>
      </c>
      <c r="C79" s="9">
        <f t="shared" si="4"/>
        <v>1</v>
      </c>
      <c r="D79" s="9">
        <f t="shared" si="5"/>
        <v>0</v>
      </c>
    </row>
    <row r="80" spans="2:4" x14ac:dyDescent="0.55000000000000004">
      <c r="B80" s="1">
        <v>70</v>
      </c>
      <c r="C80" s="9">
        <f t="shared" si="4"/>
        <v>1</v>
      </c>
      <c r="D80" s="9">
        <f t="shared" si="5"/>
        <v>0</v>
      </c>
    </row>
    <row r="81" spans="2:4" x14ac:dyDescent="0.55000000000000004">
      <c r="B81" s="1">
        <v>71</v>
      </c>
      <c r="C81" s="9">
        <f t="shared" si="4"/>
        <v>1</v>
      </c>
      <c r="D81" s="9">
        <f t="shared" si="5"/>
        <v>0</v>
      </c>
    </row>
    <row r="82" spans="2:4" x14ac:dyDescent="0.55000000000000004">
      <c r="B82" s="1">
        <v>72</v>
      </c>
      <c r="C82" s="9">
        <f t="shared" si="4"/>
        <v>1</v>
      </c>
      <c r="D82" s="9">
        <f t="shared" si="5"/>
        <v>0</v>
      </c>
    </row>
    <row r="83" spans="2:4" x14ac:dyDescent="0.55000000000000004">
      <c r="B83" s="1">
        <v>73</v>
      </c>
      <c r="C83" s="9">
        <f t="shared" si="4"/>
        <v>1</v>
      </c>
      <c r="D83" s="9">
        <f t="shared" si="5"/>
        <v>0</v>
      </c>
    </row>
    <row r="84" spans="2:4" x14ac:dyDescent="0.55000000000000004">
      <c r="B84" s="1">
        <v>74</v>
      </c>
      <c r="C84" s="9">
        <f t="shared" si="4"/>
        <v>1</v>
      </c>
      <c r="D84" s="9">
        <f t="shared" si="5"/>
        <v>0</v>
      </c>
    </row>
    <row r="85" spans="2:4" x14ac:dyDescent="0.55000000000000004">
      <c r="B85" s="1">
        <v>75</v>
      </c>
      <c r="C85" s="9">
        <f t="shared" si="4"/>
        <v>1</v>
      </c>
      <c r="D85" s="9">
        <f t="shared" si="5"/>
        <v>0</v>
      </c>
    </row>
    <row r="86" spans="2:4" x14ac:dyDescent="0.55000000000000004">
      <c r="B86" s="1">
        <v>76</v>
      </c>
      <c r="C86" s="9">
        <f t="shared" si="4"/>
        <v>1</v>
      </c>
      <c r="D86" s="9">
        <f t="shared" si="5"/>
        <v>0</v>
      </c>
    </row>
    <row r="87" spans="2:4" x14ac:dyDescent="0.55000000000000004">
      <c r="B87" s="1">
        <v>77</v>
      </c>
      <c r="C87" s="9">
        <f t="shared" si="4"/>
        <v>1</v>
      </c>
      <c r="D87" s="9">
        <f t="shared" si="5"/>
        <v>0</v>
      </c>
    </row>
    <row r="88" spans="2:4" x14ac:dyDescent="0.55000000000000004">
      <c r="B88" s="1">
        <v>78</v>
      </c>
      <c r="C88" s="9">
        <f t="shared" si="4"/>
        <v>1</v>
      </c>
      <c r="D88" s="9">
        <f t="shared" si="5"/>
        <v>0</v>
      </c>
    </row>
    <row r="89" spans="2:4" x14ac:dyDescent="0.55000000000000004">
      <c r="B89" s="1">
        <v>79</v>
      </c>
      <c r="C89" s="9">
        <f t="shared" si="4"/>
        <v>1</v>
      </c>
      <c r="D89" s="9">
        <f t="shared" si="5"/>
        <v>0</v>
      </c>
    </row>
    <row r="90" spans="2:4" x14ac:dyDescent="0.55000000000000004">
      <c r="B90" s="1">
        <v>80</v>
      </c>
      <c r="C90" s="9">
        <f t="shared" si="4"/>
        <v>1</v>
      </c>
      <c r="D90" s="9">
        <f t="shared" si="5"/>
        <v>0</v>
      </c>
    </row>
    <row r="91" spans="2:4" x14ac:dyDescent="0.55000000000000004">
      <c r="B91" s="1">
        <v>81</v>
      </c>
      <c r="C91" s="9">
        <f t="shared" si="4"/>
        <v>1</v>
      </c>
      <c r="D91" s="9">
        <f t="shared" si="5"/>
        <v>0</v>
      </c>
    </row>
    <row r="92" spans="2:4" x14ac:dyDescent="0.55000000000000004">
      <c r="B92" s="1">
        <v>82</v>
      </c>
      <c r="C92" s="9">
        <f t="shared" si="4"/>
        <v>1</v>
      </c>
      <c r="D92" s="9">
        <f t="shared" si="5"/>
        <v>0</v>
      </c>
    </row>
    <row r="93" spans="2:4" x14ac:dyDescent="0.55000000000000004">
      <c r="B93" s="1">
        <v>83</v>
      </c>
      <c r="C93" s="9">
        <f t="shared" si="4"/>
        <v>1</v>
      </c>
      <c r="D93" s="9">
        <f t="shared" si="5"/>
        <v>0</v>
      </c>
    </row>
    <row r="94" spans="2:4" x14ac:dyDescent="0.55000000000000004">
      <c r="B94" s="1">
        <v>84</v>
      </c>
      <c r="C94" s="9">
        <f t="shared" si="4"/>
        <v>1</v>
      </c>
      <c r="D94" s="9">
        <f t="shared" si="5"/>
        <v>0</v>
      </c>
    </row>
    <row r="95" spans="2:4" x14ac:dyDescent="0.55000000000000004">
      <c r="B95" s="1">
        <v>85</v>
      </c>
      <c r="C95" s="9">
        <f t="shared" si="4"/>
        <v>1</v>
      </c>
      <c r="D95" s="9">
        <f t="shared" si="5"/>
        <v>0</v>
      </c>
    </row>
    <row r="96" spans="2:4" x14ac:dyDescent="0.55000000000000004">
      <c r="B96" s="1">
        <v>86</v>
      </c>
      <c r="C96" s="9">
        <f t="shared" si="4"/>
        <v>1</v>
      </c>
      <c r="D96" s="9">
        <f t="shared" si="5"/>
        <v>0</v>
      </c>
    </row>
    <row r="97" spans="2:4" x14ac:dyDescent="0.55000000000000004">
      <c r="B97" s="1">
        <v>87</v>
      </c>
      <c r="C97" s="9">
        <f t="shared" si="4"/>
        <v>1</v>
      </c>
      <c r="D97" s="9">
        <f t="shared" si="5"/>
        <v>0</v>
      </c>
    </row>
    <row r="98" spans="2:4" x14ac:dyDescent="0.55000000000000004">
      <c r="B98" s="1">
        <v>88</v>
      </c>
      <c r="C98" s="9">
        <f t="shared" si="4"/>
        <v>1</v>
      </c>
      <c r="D98" s="9">
        <f t="shared" si="5"/>
        <v>0</v>
      </c>
    </row>
    <row r="99" spans="2:4" x14ac:dyDescent="0.55000000000000004">
      <c r="B99" s="1">
        <v>89</v>
      </c>
      <c r="C99" s="9">
        <f t="shared" si="4"/>
        <v>1</v>
      </c>
      <c r="D99" s="9">
        <f t="shared" si="5"/>
        <v>0</v>
      </c>
    </row>
    <row r="100" spans="2:4" x14ac:dyDescent="0.55000000000000004">
      <c r="B100" s="1">
        <v>90</v>
      </c>
      <c r="C100" s="9">
        <f t="shared" si="4"/>
        <v>1</v>
      </c>
      <c r="D100" s="9">
        <f t="shared" si="5"/>
        <v>0</v>
      </c>
    </row>
    <row r="101" spans="2:4" x14ac:dyDescent="0.55000000000000004">
      <c r="B101" s="1">
        <v>91</v>
      </c>
      <c r="C101" s="9">
        <f t="shared" si="4"/>
        <v>1</v>
      </c>
      <c r="D101" s="9">
        <f t="shared" si="5"/>
        <v>0</v>
      </c>
    </row>
    <row r="102" spans="2:4" x14ac:dyDescent="0.55000000000000004">
      <c r="B102" s="1">
        <v>92</v>
      </c>
      <c r="C102" s="9">
        <f t="shared" si="4"/>
        <v>1</v>
      </c>
      <c r="D102" s="9">
        <f t="shared" si="5"/>
        <v>0</v>
      </c>
    </row>
    <row r="103" spans="2:4" x14ac:dyDescent="0.55000000000000004">
      <c r="B103" s="1">
        <v>93</v>
      </c>
      <c r="C103" s="9">
        <f t="shared" si="4"/>
        <v>1</v>
      </c>
      <c r="D103" s="9">
        <f t="shared" si="5"/>
        <v>0</v>
      </c>
    </row>
    <row r="104" spans="2:4" x14ac:dyDescent="0.55000000000000004">
      <c r="B104" s="1">
        <v>94</v>
      </c>
      <c r="C104" s="9">
        <f t="shared" si="4"/>
        <v>1</v>
      </c>
      <c r="D104" s="9">
        <f t="shared" si="5"/>
        <v>0</v>
      </c>
    </row>
    <row r="105" spans="2:4" x14ac:dyDescent="0.55000000000000004">
      <c r="B105" s="1">
        <v>95</v>
      </c>
      <c r="C105" s="9">
        <f t="shared" si="4"/>
        <v>1</v>
      </c>
      <c r="D105" s="9">
        <f t="shared" si="5"/>
        <v>0</v>
      </c>
    </row>
    <row r="106" spans="2:4" x14ac:dyDescent="0.55000000000000004">
      <c r="B106" s="1">
        <v>96</v>
      </c>
      <c r="C106" s="9">
        <f t="shared" ref="C106:C137" si="6">($F$10-$G$10)*COS(2*PI()*$J$10*$I$10*B106/100)+($G$10/$H$10)*COS((($F$10-$G$10)/$G$10)*2*PI()*$I$10*B106/100)</f>
        <v>1</v>
      </c>
      <c r="D106" s="9">
        <f t="shared" si="5"/>
        <v>0</v>
      </c>
    </row>
    <row r="107" spans="2:4" x14ac:dyDescent="0.55000000000000004">
      <c r="B107" s="1">
        <v>97</v>
      </c>
      <c r="C107" s="9">
        <f t="shared" si="6"/>
        <v>1</v>
      </c>
      <c r="D107" s="9">
        <f t="shared" si="5"/>
        <v>0</v>
      </c>
    </row>
    <row r="108" spans="2:4" x14ac:dyDescent="0.55000000000000004">
      <c r="B108" s="1">
        <v>98</v>
      </c>
      <c r="C108" s="9">
        <f t="shared" si="6"/>
        <v>1</v>
      </c>
      <c r="D108" s="9">
        <f t="shared" si="5"/>
        <v>0</v>
      </c>
    </row>
    <row r="109" spans="2:4" x14ac:dyDescent="0.55000000000000004">
      <c r="B109" s="1">
        <v>99</v>
      </c>
      <c r="C109" s="9">
        <f t="shared" si="6"/>
        <v>1</v>
      </c>
      <c r="D109" s="9">
        <f t="shared" si="5"/>
        <v>0</v>
      </c>
    </row>
    <row r="110" spans="2:4" ht="18.5" thickBot="1" x14ac:dyDescent="0.6">
      <c r="B110" s="3">
        <v>100</v>
      </c>
      <c r="C110" s="9">
        <f t="shared" si="6"/>
        <v>1</v>
      </c>
      <c r="D110" s="9">
        <f t="shared" si="5"/>
        <v>0</v>
      </c>
    </row>
    <row r="111" spans="2:4" x14ac:dyDescent="0.55000000000000004">
      <c r="C111" s="9">
        <f>C110</f>
        <v>1</v>
      </c>
      <c r="D111" s="9">
        <f>C111</f>
        <v>1</v>
      </c>
    </row>
    <row r="112" spans="2:4" x14ac:dyDescent="0.55000000000000004">
      <c r="C112" s="9">
        <f>-C111</f>
        <v>-1</v>
      </c>
      <c r="D112" s="9">
        <f>D111</f>
        <v>1</v>
      </c>
    </row>
    <row r="113" spans="3:4" x14ac:dyDescent="0.55000000000000004">
      <c r="C113" s="9">
        <f>C112</f>
        <v>-1</v>
      </c>
      <c r="D113" s="9">
        <f>-D112</f>
        <v>-1</v>
      </c>
    </row>
    <row r="114" spans="3:4" ht="18.5" thickBot="1" x14ac:dyDescent="0.6">
      <c r="C114" s="10">
        <f>-C113</f>
        <v>1</v>
      </c>
      <c r="D114" s="10">
        <f>D113</f>
        <v>-1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演習問題１（円上の糸掛け）</vt:lpstr>
      <vt:lpstr>【解答】演習問題１（円上の糸掛け） </vt:lpstr>
      <vt:lpstr>演習問題２（螺旋）</vt:lpstr>
      <vt:lpstr>【解答】演習問題２（螺旋）</vt:lpstr>
      <vt:lpstr>演習問題3（エピ・ハイポサイクロイド）</vt:lpstr>
      <vt:lpstr>【解答】演習問題3（エピ・ハイポサイクロイド）</vt:lpstr>
      <vt:lpstr>演習問題4（リサージュ曲線）</vt:lpstr>
      <vt:lpstr>【解答】演習問題4（リサージュ曲線）</vt:lpstr>
      <vt:lpstr>付録（キメラカーブ）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k.okamoto</dc:creator>
  <cp:lastModifiedBy>k.okamoto</cp:lastModifiedBy>
  <dcterms:created xsi:type="dcterms:W3CDTF">2020-07-07T07:31:49Z</dcterms:created>
  <dcterms:modified xsi:type="dcterms:W3CDTF">2020-07-16T08:40:49Z</dcterms:modified>
</cp:coreProperties>
</file>